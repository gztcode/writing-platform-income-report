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  <Override PartName="/docProps/custom.xml" ContentType="application/vnd.openxmlformats-officedocument.custom-properties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Id="rId4" Type="http://schemas.openxmlformats.org/officeDocument/2006/relationships/custom-properties" Target="docProps/custom.xml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平台总览" sheetId="1" state="visible" r:id="rId1"/>
    <sheet name="流量分成单价" sheetId="2" state="visible" r:id="rId2"/>
    <sheet name="稿酬与分成" sheetId="3" state="visible" r:id="rId3"/>
    <sheet name="选择建议" sheetId="4" state="visible" r:id="rId4"/>
    <sheet name="说明与来源" sheetId="5" state="visible" r:id="rId5"/>
  </sheets>
  <definedNames>
    <definedName name="_xlnm._FilterDatabase" localSheetId="0" hidden="1">'平台总览'!$A$3:$L$24</definedName>
    <definedName name="_xlnm._FilterDatabase" localSheetId="2" hidden="1">'稿酬与分成'!$A$3:$G$15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微软雅黑"/>
      <b val="1"/>
      <color rgb="FFFFFFFF"/>
      <sz val="15"/>
    </font>
    <font>
      <name val="微软雅黑"/>
      <i val="1"/>
      <color rgb="FF595959"/>
      <sz val="9"/>
    </font>
    <font>
      <name val="微软雅黑"/>
      <b val="1"/>
      <color rgb="FFFFFFFF"/>
      <sz val="10"/>
    </font>
    <font>
      <name val="微软雅黑"/>
      <sz val="9"/>
    </font>
    <font>
      <name val="微软雅黑"/>
      <b val="1"/>
      <sz val="9"/>
    </font>
    <font>
      <name val="微软雅黑"/>
      <b val="1"/>
      <color rgb="FF1F3864"/>
      <sz val="11"/>
    </font>
    <font>
      <name val="微软雅黑"/>
      <b val="1"/>
      <color rgb="FF2F5597"/>
      <sz val="10"/>
    </font>
  </fonts>
  <fills count="6">
    <fill>
      <patternFill/>
    </fill>
    <fill>
      <patternFill patternType="gray125"/>
    </fill>
    <fill>
      <patternFill patternType="solid">
        <fgColor rgb="FF2F5597"/>
      </patternFill>
    </fill>
    <fill>
      <patternFill patternType="solid">
        <fgColor rgb="FF4472C4"/>
      </patternFill>
    </fill>
    <fill>
      <patternFill patternType="solid">
        <fgColor rgb="FFEDF2FA"/>
      </patternFill>
    </fill>
    <fill>
      <patternFill patternType="solid">
        <fgColor rgb="FFD9E2F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4472C4"/>
      </top>
      <bottom style="thin">
        <color rgb="FF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 wrapText="1"/>
    </xf>
    <xf numFmtId="164" fontId="5" fillId="4" borderId="2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inden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b val="1"/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各平台图文流量分成单价上限（元/万次阅读）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'流量分成单价'!C3</f>
            </strRef>
          </tx>
          <spPr>
            <a:ln>
              <a:prstDash val="solid"/>
            </a:ln>
          </spPr>
          <cat>
            <numRef>
              <f>'流量分成单价'!$A$4:$A$11</f>
            </numRef>
          </cat>
          <val>
            <numRef>
              <f>'流量分成单价'!$C$4:$C$11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元 / 万次阅读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61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2F5597"/>
    <outlinePr summaryBelow="1" summaryRight="1"/>
    <pageSetUpPr/>
  </sheetPr>
  <dimension ref="A1:L2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5" customWidth="1" min="2" max="2"/>
    <col width="13" customWidth="1" min="3" max="3"/>
    <col width="24" customWidth="1" min="4" max="4"/>
    <col width="46" customWidth="1" min="5" max="5"/>
    <col width="26" customWidth="1" min="6" max="6"/>
    <col width="14" customWidth="1" min="7" max="7"/>
    <col width="15" customWidth="1" min="8" max="8"/>
    <col width="15" customWidth="1" min="9" max="9"/>
    <col width="10" customWidth="1" min="10" max="10"/>
    <col width="24" customWidth="1" min="11" max="11"/>
    <col width="33" customWidth="1" min="12" max="12"/>
  </cols>
  <sheetData>
    <row r="1" ht="30" customHeight="1">
      <c r="A1" s="1" t="inlineStr">
        <is>
          <t>写作变现平台资费对比表</t>
        </is>
      </c>
    </row>
    <row r="2" ht="18" customHeight="1">
      <c r="A2" s="2" t="inlineStr">
        <is>
          <t>共 21 个平台 · 数据为 2026 年 10 月前公开口径整理 · 具体以各平台创作者后台最新规则为准</t>
        </is>
      </c>
    </row>
    <row r="3" ht="34" customHeight="1">
      <c r="A3" s="3" t="inlineStr">
        <is>
          <t>序号</t>
        </is>
      </c>
      <c r="B3" s="3" t="inlineStr">
        <is>
          <t>平台</t>
        </is>
      </c>
      <c r="C3" s="3" t="inlineStr">
        <is>
          <t>平台类型</t>
        </is>
      </c>
      <c r="D3" s="3" t="inlineStr">
        <is>
          <t>核心变现方式</t>
        </is>
      </c>
      <c r="E3" s="3" t="inlineStr">
        <is>
          <t>资费 / 分成标准（详细）</t>
        </is>
      </c>
      <c r="F3" s="3" t="inlineStr">
        <is>
          <t>开通 / 入驻门槛</t>
        </is>
      </c>
      <c r="G3" s="3" t="inlineStr">
        <is>
          <t>结算方式</t>
        </is>
      </c>
      <c r="H3" s="3" t="inlineStr">
        <is>
          <t>新手月收入下限（元）</t>
        </is>
      </c>
      <c r="I3" s="3" t="inlineStr">
        <is>
          <t>新手月收入上限（元）</t>
        </is>
      </c>
      <c r="J3" s="3" t="inlineStr">
        <is>
          <t>潜力等级</t>
        </is>
      </c>
      <c r="K3" s="3" t="inlineStr">
        <is>
          <t>适合人群</t>
        </is>
      </c>
      <c r="L3" s="3" t="inlineStr">
        <is>
          <t>注意事项</t>
        </is>
      </c>
    </row>
    <row r="4" ht="93" customHeight="1">
      <c r="A4" s="4" t="n">
        <v>1</v>
      </c>
      <c r="B4" s="5" t="inlineStr">
        <is>
          <t>今日头条（头条号）</t>
        </is>
      </c>
      <c r="C4" s="6" t="inlineStr">
        <is>
          <t>自媒体图文</t>
        </is>
      </c>
      <c r="D4" s="6" t="inlineStr">
        <is>
          <t>广告分成 + 首发补贴 + 互动奖励 + 青云计划</t>
        </is>
      </c>
      <c r="E4" s="6" t="inlineStr">
        <is>
          <t>图文万次阅读 3–15 元（优质原创 5–10 元，深度长文可达 30–80 元）；收益 = 千次阅读单价 × 互动系数（最高 3 倍）× 获利阅读量 ÷ 1000；微头条单价低于长文；青云计划单篇 50–1000 元</t>
        </is>
      </c>
      <c r="F4" s="6" t="inlineStr">
        <is>
          <t>0 粉丝即可开通「文章创作收益」；100 粉丝解锁微头条与问答收益</t>
        </is>
      </c>
      <c r="G4" s="6" t="inlineStr">
        <is>
          <t>次日更新收益，满 1 元可提现</t>
        </is>
      </c>
      <c r="H4" s="7" t="n">
        <v>0</v>
      </c>
      <c r="I4" s="7" t="n">
        <v>3000</v>
      </c>
      <c r="J4" s="4" t="inlineStr">
        <is>
          <t>中</t>
        </is>
      </c>
      <c r="K4" s="6" t="inlineStr">
        <is>
          <t>想快速见到现金流的新手；热点、资讯、故事、情感类</t>
        </is>
      </c>
      <c r="L4" s="6" t="inlineStr">
        <is>
          <t>互动系数影响很大（评论/收藏/进主页），刷阅读无用；勾选「首发」后 72 小时内不能发其他平台</t>
        </is>
      </c>
    </row>
    <row r="5" ht="64" customHeight="1">
      <c r="A5" s="4" t="n">
        <v>2</v>
      </c>
      <c r="B5" s="5" t="inlineStr">
        <is>
          <t>百家号</t>
        </is>
      </c>
      <c r="C5" s="6" t="inlineStr">
        <is>
          <t>自媒体图文</t>
        </is>
      </c>
      <c r="D5" s="6" t="inlineStr">
        <is>
          <t>广告分成 + 原创扶持 + 动态收益</t>
        </is>
      </c>
      <c r="E5" s="6" t="inlineStr">
        <is>
          <t>普通账号万次阅读 2–10 元；优质原创 10–20 元；视频单价略高于图文；未转正期间无广告收益</t>
        </is>
      </c>
      <c r="F5" s="6" t="inlineStr">
        <is>
          <t>需过新手期转正（注册满 7 天、指数≥500、完成实名认证）后才开广告分成</t>
        </is>
      </c>
      <c r="G5" s="6" t="inlineStr">
        <is>
          <t>月结，满 100 元可提现</t>
        </is>
      </c>
      <c r="H5" s="7" t="n">
        <v>0</v>
      </c>
      <c r="I5" s="7" t="n">
        <v>2000</v>
      </c>
      <c r="J5" s="4" t="inlineStr">
        <is>
          <t>中</t>
        </is>
      </c>
      <c r="K5" s="6" t="inlineStr">
        <is>
          <t>做百度搜索长尾流量；经验、知识、评测类内容</t>
        </is>
      </c>
      <c r="L5" s="6" t="inlineStr">
        <is>
          <t>图文平台里单价偏高，但转正有考核期；搬运、低质、重复内容收益极低甚至为 0</t>
        </is>
      </c>
    </row>
    <row r="6" ht="122" customHeight="1">
      <c r="A6" s="4" t="n">
        <v>3</v>
      </c>
      <c r="B6" s="5" t="inlineStr">
        <is>
          <t>微信公众号</t>
        </is>
      </c>
      <c r="C6" s="6" t="inlineStr">
        <is>
          <t>自媒体 / 私域</t>
        </is>
      </c>
      <c r="D6" s="6" t="inlineStr">
        <is>
          <t>流量主（程序化广告）+ 互选广告 + 返佣商品 + 赞赏 + 付费阅读</t>
        </is>
      </c>
      <c r="E6" s="6" t="inlineStr">
        <is>
          <t>流量主 eCPM 约 3–20 元/千次曝光（折合万次阅读 30–200 元，实测波动极大，1.9–170 元/千次都出现过）；互选广告按 0.5–1.5 元/阅读报价，或「粉丝×0.1 + 阅读×0.5」；500–1000 粉 300–800 元/篇，1000–5000 粉 800–2000 元/篇；返佣佣金 5%–25%</t>
        </is>
      </c>
      <c r="F6" s="6" t="inlineStr">
        <is>
          <t>2026 年流量主门槛降至 100 粉丝；互选广告需 500 粉 + 3 篇原创</t>
        </is>
      </c>
      <c r="G6" s="6" t="inlineStr">
        <is>
          <t>流量主月结（次月 15 日前后），满 100 元可提</t>
        </is>
      </c>
      <c r="H6" s="7" t="n">
        <v>0</v>
      </c>
      <c r="I6" s="7" t="n">
        <v>20000</v>
      </c>
      <c r="J6" s="4" t="inlineStr">
        <is>
          <t>高</t>
        </is>
      </c>
      <c r="K6" s="6" t="inlineStr">
        <is>
          <t>想做个人 IP、长期沉淀读者、承接课程/咨询/社群</t>
        </is>
      </c>
      <c r="L6" s="6" t="inlineStr">
        <is>
          <t>打开率持续下滑，纯靠流量主很难；真正价值在私域和接广告，别只盯阅读量</t>
        </is>
      </c>
    </row>
    <row r="7" ht="64" customHeight="1">
      <c r="A7" s="4" t="n">
        <v>4</v>
      </c>
      <c r="B7" s="5" t="inlineStr">
        <is>
          <t>知乎（致知计划）</t>
        </is>
      </c>
      <c r="C7" s="6" t="inlineStr">
        <is>
          <t>问答 / 知识社区</t>
        </is>
      </c>
      <c r="D7" s="6" t="inlineStr">
        <is>
          <t>致知计划流量分成 + 知+自选 + 付费咨询 + 品牌商单</t>
        </is>
      </c>
      <c r="E7" s="6" t="inlineStr">
        <is>
          <t>致知计划约 5–30 元/万次有效阅读；知+自选按效果分成；品牌商单 800–5000 元/千字；付费咨询 9.9–499 元/次；「盐粒」100 粒 = 1 元</t>
        </is>
      </c>
      <c r="F7" s="6" t="inlineStr">
        <is>
          <t>需开通致知计划权益；接商单需一定创作等级与领域权重</t>
        </is>
      </c>
      <c r="G7" s="6" t="inlineStr">
        <is>
          <t>月结，满 100 元可提</t>
        </is>
      </c>
      <c r="H7" s="7" t="n">
        <v>0</v>
      </c>
      <c r="I7" s="7" t="n">
        <v>2000</v>
      </c>
      <c r="J7" s="4" t="inlineStr">
        <is>
          <t>中</t>
        </is>
      </c>
      <c r="K7" s="6" t="inlineStr">
        <is>
          <t>专业领域深度内容、研究型作者；靠搜索长尾持续获客</t>
        </is>
      </c>
      <c r="L7" s="6" t="inlineStr">
        <is>
          <t>致知计划明确排除 AI 创作及 AI 辅助创作内容；不适合批量铺稿</t>
        </is>
      </c>
    </row>
    <row r="8" ht="107.5" customHeight="1">
      <c r="A8" s="4" t="n">
        <v>5</v>
      </c>
      <c r="B8" s="5" t="inlineStr">
        <is>
          <t>小红书</t>
        </is>
      </c>
      <c r="C8" s="6" t="inlineStr">
        <is>
          <t>图文种草</t>
        </is>
      </c>
      <c r="D8" s="6" t="inlineStr">
        <is>
          <t>蒲公英商单 + 带货佣金 + 付费笔记（内测）+ 私域转化</t>
        </is>
      </c>
      <c r="E8" s="6" t="inlineStr">
        <is>
          <t>无阅读分成；蒲公英 1000 粉开通，平台扣 10% 服务费；1000–5000 粉图文 100–500 元/篇、视频 200–800 元/条；5000–1 万粉图文 300–1000 元/篇；报价公式 图文≈粉丝×0.1–0.3、视频≈粉丝×0.2–0.5；带货佣金 10%–30%</t>
        </is>
      </c>
      <c r="F8" s="6" t="inlineStr">
        <is>
          <t>蒲公英 1000 粉丝；带货 0 粉即可开</t>
        </is>
      </c>
      <c r="G8" s="6" t="inlineStr">
        <is>
          <t>平台担保，发布后 7–15 天结算</t>
        </is>
      </c>
      <c r="H8" s="7" t="n">
        <v>0</v>
      </c>
      <c r="I8" s="7" t="n">
        <v>1500</v>
      </c>
      <c r="J8" s="4" t="inlineStr">
        <is>
          <t>高</t>
        </is>
      </c>
      <c r="K8" s="6" t="inlineStr">
        <is>
          <t>女性向、生活方式、母婴家居、美妆、AI 工具测评等垂类</t>
        </is>
      </c>
      <c r="L8" s="6" t="inlineStr">
        <is>
          <t>粉丝量≠收入，垂类和互动率决定报价；泛生活号大量月份只有样品置换、0 现金</t>
        </is>
      </c>
    </row>
    <row r="9" ht="64" customHeight="1">
      <c r="A9" s="4" t="n">
        <v>6</v>
      </c>
      <c r="B9" s="5" t="inlineStr">
        <is>
          <t>大鱼号</t>
        </is>
      </c>
      <c r="C9" s="6" t="inlineStr">
        <is>
          <t>自媒体图文</t>
        </is>
      </c>
      <c r="D9" s="6" t="inlineStr">
        <is>
          <t>UC/夸克流量分成 + 大鱼奖金</t>
        </is>
      </c>
      <c r="E9" s="6" t="inlineStr">
        <is>
          <t>万次阅读约 15–20 元，开通原创后更高；视频收益快于图文</t>
        </is>
      </c>
      <c r="F9" s="6" t="inlineStr">
        <is>
          <t>试运营转正（推荐占比≥80%、信用分 100、实名、7 天日更）；三星且过原创才开收益</t>
        </is>
      </c>
      <c r="G9" s="6" t="inlineStr">
        <is>
          <t>月结</t>
        </is>
      </c>
      <c r="H9" s="7" t="n">
        <v>0</v>
      </c>
      <c r="I9" s="7" t="n">
        <v>800</v>
      </c>
      <c r="J9" s="4" t="inlineStr">
        <is>
          <t>低</t>
        </is>
      </c>
      <c r="K9" s="6" t="inlineStr">
        <is>
          <t>作为多平台分发的补充渠道</t>
        </is>
      </c>
      <c r="L9" s="6" t="inlineStr">
        <is>
          <t>平台投入逐年收缩，2025 年后多数创作者已降低投入，不建议当主力</t>
        </is>
      </c>
    </row>
    <row r="10" ht="35" customHeight="1">
      <c r="A10" s="4" t="n">
        <v>7</v>
      </c>
      <c r="B10" s="5" t="inlineStr">
        <is>
          <t>网易号</t>
        </is>
      </c>
      <c r="C10" s="6" t="inlineStr">
        <is>
          <t>自媒体图文</t>
        </is>
      </c>
      <c r="D10" s="6" t="inlineStr">
        <is>
          <t>广告分成 + 平台奖金</t>
        </is>
      </c>
      <c r="E10" s="6" t="inlineStr">
        <is>
          <t>万次阅读约 3–8 元，原创略有加成</t>
        </is>
      </c>
      <c r="F10" s="6" t="inlineStr">
        <is>
          <t>需过新手期并开通收益权限</t>
        </is>
      </c>
      <c r="G10" s="6" t="inlineStr">
        <is>
          <t>月结</t>
        </is>
      </c>
      <c r="H10" s="7" t="n">
        <v>0</v>
      </c>
      <c r="I10" s="7" t="n">
        <v>500</v>
      </c>
      <c r="J10" s="4" t="inlineStr">
        <is>
          <t>低</t>
        </is>
      </c>
      <c r="K10" s="6" t="inlineStr">
        <is>
          <t>补充分发；新闻评论、社会话题</t>
        </is>
      </c>
      <c r="L10" s="6" t="inlineStr">
        <is>
          <t>单价偏低，流量集中在新闻和评论，长尾弱</t>
        </is>
      </c>
    </row>
    <row r="11" ht="49.5" customHeight="1">
      <c r="A11" s="4" t="n">
        <v>8</v>
      </c>
      <c r="B11" s="5" t="inlineStr">
        <is>
          <t>企鹅号</t>
        </is>
      </c>
      <c r="C11" s="6" t="inlineStr">
        <is>
          <t>自媒体图文</t>
        </is>
      </c>
      <c r="D11" s="6" t="inlineStr">
        <is>
          <t>广告分成</t>
        </is>
      </c>
      <c r="E11" s="6" t="inlineStr">
        <is>
          <t>万次阅读约 5–10 元</t>
        </is>
      </c>
      <c r="F11" s="6" t="inlineStr">
        <is>
          <t>老规则为发满 5 篇到三级开收益，现已并入腾讯新闻创作平台</t>
        </is>
      </c>
      <c r="G11" s="6" t="inlineStr">
        <is>
          <t>月结</t>
        </is>
      </c>
      <c r="H11" s="7" t="n">
        <v>0</v>
      </c>
      <c r="I11" s="7" t="n">
        <v>300</v>
      </c>
      <c r="J11" s="4" t="inlineStr">
        <is>
          <t>低</t>
        </is>
      </c>
      <c r="K11" s="6" t="inlineStr">
        <is>
          <t>补充分发</t>
        </is>
      </c>
      <c r="L11" s="6" t="inlineStr">
        <is>
          <t>平台规则多次调整、收益不稳定，不建议作为主要收入来源</t>
        </is>
      </c>
    </row>
    <row r="12" ht="35" customHeight="1">
      <c r="A12" s="4" t="n">
        <v>9</v>
      </c>
      <c r="B12" s="5" t="inlineStr">
        <is>
          <t>搜狐号</t>
        </is>
      </c>
      <c r="C12" s="6" t="inlineStr">
        <is>
          <t>自媒体图文</t>
        </is>
      </c>
      <c r="D12" s="6" t="inlineStr">
        <is>
          <t>广告分成</t>
        </is>
      </c>
      <c r="E12" s="6" t="inlineStr">
        <is>
          <t>万次阅读约 2–6 元</t>
        </is>
      </c>
      <c r="F12" s="6" t="inlineStr">
        <is>
          <t>注册即可发文，收益需单独开通</t>
        </is>
      </c>
      <c r="G12" s="6" t="inlineStr">
        <is>
          <t>月结</t>
        </is>
      </c>
      <c r="H12" s="7" t="n">
        <v>0</v>
      </c>
      <c r="I12" s="7" t="n">
        <v>300</v>
      </c>
      <c r="J12" s="4" t="inlineStr">
        <is>
          <t>低</t>
        </is>
      </c>
      <c r="K12" s="6" t="inlineStr">
        <is>
          <t>做搜索收录和品牌曝光</t>
        </is>
      </c>
      <c r="L12" s="6" t="inlineStr">
        <is>
          <t>单价低，但百度收录好，适合当「内容仓库」而不是赚钱渠道</t>
        </is>
      </c>
    </row>
    <row r="13" ht="122" customHeight="1">
      <c r="A13" s="4" t="n">
        <v>10</v>
      </c>
      <c r="B13" s="5" t="inlineStr">
        <is>
          <t>番茄小说</t>
        </is>
      </c>
      <c r="C13" s="6" t="inlineStr">
        <is>
          <t>免费网文</t>
        </is>
      </c>
      <c r="D13" s="6" t="inlineStr">
        <is>
          <t>广告分成 + 全勤 + 短剧版权 + 短故事计划</t>
        </is>
      </c>
      <c r="E13" s="6" t="inlineStr">
        <is>
          <t>广告收益作者 55% / 平台 45%；全勤：日更 4000 字 600 元/月 + 听读分成 5%（上限 1500），日更 6000 字 800 元/月 + 分成 5%（上限 2000）；短故事「千字万金」：超短篇 80–500 元/千字、中短篇 100–700 元/千字；短剧原著奖励最高 300 万</t>
        </is>
      </c>
      <c r="F13" s="6" t="inlineStr">
        <is>
          <t>约 2 万字可申请签约；全勤需作品满 10 万字次月申请，且当月听读分成≥500 元</t>
        </is>
      </c>
      <c r="G13" s="6" t="inlineStr">
        <is>
          <t>月结</t>
        </is>
      </c>
      <c r="H13" s="7" t="n">
        <v>0</v>
      </c>
      <c r="I13" s="7" t="n">
        <v>2500</v>
      </c>
      <c r="J13" s="4" t="inlineStr">
        <is>
          <t>高</t>
        </is>
      </c>
      <c r="K13" s="6" t="inlineStr">
        <is>
          <t>第一次写网文、爽文/短故事、想低成本试错</t>
        </is>
      </c>
      <c r="L13" s="6" t="inlineStr">
        <is>
          <t>近 70 万签约作者，月入超 2500 元的仅约 1.56%，爆款率不足 0.8%，首秀日均 5600 部竞争</t>
        </is>
      </c>
    </row>
    <row r="14" ht="78.5" customHeight="1">
      <c r="A14" s="4" t="n">
        <v>11</v>
      </c>
      <c r="B14" s="5" t="inlineStr">
        <is>
          <t>起点中文网</t>
        </is>
      </c>
      <c r="C14" s="6" t="inlineStr">
        <is>
          <t>付费网文</t>
        </is>
      </c>
      <c r="D14" s="6" t="inlineStr">
        <is>
          <t>订阅分成 + 全勤 + 打赏 + IP 版权</t>
        </is>
      </c>
      <c r="E14" s="6" t="inlineStr">
        <is>
          <t>VIP 章节订阅分成（作者约 50%–70%，视合约）；全勤：30 万字上架，前 3 个月新人保护 1500 元/月（共 4500 元），第 4 个月起均订&gt;500 才有 1000 元/月</t>
        </is>
      </c>
      <c r="F14" s="6" t="inlineStr">
        <is>
          <t>编辑审核签约，新人万字投稿拒稿率超 70%；上架前累计断更不得超 4 天</t>
        </is>
      </c>
      <c r="G14" s="6" t="inlineStr">
        <is>
          <t>月结</t>
        </is>
      </c>
      <c r="H14" s="7" t="n">
        <v>0</v>
      </c>
      <c r="I14" s="7" t="n">
        <v>5000</v>
      </c>
      <c r="J14" s="4" t="inlineStr">
        <is>
          <t>极高</t>
        </is>
      </c>
      <c r="K14" s="6" t="inlineStr">
        <is>
          <t>有写作基础、追求长线 IP 与高天花板的作者</t>
        </is>
      </c>
      <c r="L14" s="6" t="inlineStr">
        <is>
          <t>前期长时间零收入，需熬过免费期；LV4 作者年收入普遍 5 万–15 万</t>
        </is>
      </c>
    </row>
    <row r="15" ht="49.5" customHeight="1">
      <c r="A15" s="4" t="n">
        <v>12</v>
      </c>
      <c r="B15" s="5" t="inlineStr">
        <is>
          <t>晋江文学城</t>
        </is>
      </c>
      <c r="C15" s="6" t="inlineStr">
        <is>
          <t>付费网文（女频）</t>
        </is>
      </c>
      <c r="D15" s="6" t="inlineStr">
        <is>
          <t>订阅分成 + 版权代理（影视/出版）</t>
        </is>
      </c>
      <c r="E15" s="6" t="inlineStr">
        <is>
          <t>VIP 订阅分成；著作权归作者本人，平台仅代理权；影视改编通常作者与平台五五分成</t>
        </is>
      </c>
      <c r="F15" s="6" t="inlineStr">
        <is>
          <t>注册作者→发文→申请签约，审核较严</t>
        </is>
      </c>
      <c r="G15" s="6" t="inlineStr">
        <is>
          <t>月结</t>
        </is>
      </c>
      <c r="H15" s="7" t="n">
        <v>0</v>
      </c>
      <c r="I15" s="7" t="n">
        <v>3000</v>
      </c>
      <c r="J15" s="4" t="inlineStr">
        <is>
          <t>极高</t>
        </is>
      </c>
      <c r="K15" s="6" t="inlineStr">
        <is>
          <t>言情、耽美等女性向长篇作者</t>
        </is>
      </c>
      <c r="L15" s="6" t="inlineStr">
        <is>
          <t>竞争激烈、出头需运气，但版权归属对作者最友好，女频收入上限高于番茄/起点</t>
        </is>
      </c>
    </row>
    <row r="16" ht="49.5" customHeight="1">
      <c r="A16" s="4" t="n">
        <v>13</v>
      </c>
      <c r="B16" s="5" t="inlineStr">
        <is>
          <t>七猫小说</t>
        </is>
      </c>
      <c r="C16" s="6" t="inlineStr">
        <is>
          <t>免费网文（保底）</t>
        </is>
      </c>
      <c r="D16" s="6" t="inlineStr">
        <is>
          <t>保底稿费 + 广告分成</t>
        </is>
      </c>
      <c r="E16" s="6" t="inlineStr">
        <is>
          <t>保底千字 20 元起（可谈至 50–200 元/千字）；新人可通过训练营申请签约，编辑一对一指导</t>
        </is>
      </c>
      <c r="F16" s="6" t="inlineStr">
        <is>
          <t>训练营 / 投稿审核签约</t>
        </is>
      </c>
      <c r="G16" s="6" t="inlineStr">
        <is>
          <t>月结</t>
        </is>
      </c>
      <c r="H16" s="7" t="n">
        <v>2000</v>
      </c>
      <c r="I16" s="7" t="n">
        <v>8000</v>
      </c>
      <c r="J16" s="4" t="inlineStr">
        <is>
          <t>中</t>
        </is>
      </c>
      <c r="K16" s="6" t="inlineStr">
        <is>
          <t>想要稳定收入、能稳定日更的新人</t>
        </is>
      </c>
      <c r="L16" s="6" t="inlineStr">
        <is>
          <t>有保底最安心，但天花板不如番茄/起点；题材偏逻辑严密、成长感强的爽文</t>
        </is>
      </c>
    </row>
    <row r="17" ht="35" customHeight="1">
      <c r="A17" s="4" t="n">
        <v>14</v>
      </c>
      <c r="B17" s="5" t="inlineStr">
        <is>
          <t>知乎盐言故事</t>
        </is>
      </c>
      <c r="C17" s="6" t="inlineStr">
        <is>
          <t>短篇付费</t>
        </is>
      </c>
      <c r="D17" s="6" t="inlineStr">
        <is>
          <t>会员阅读分成 + 买断 + 版权开发</t>
        </is>
      </c>
      <c r="E17" s="6" t="inlineStr">
        <is>
          <t>签约按 50% 分成或单篇买断；爆款故事单月可破 5 万；长尾分成可持续数年</t>
        </is>
      </c>
      <c r="F17" s="6" t="inlineStr">
        <is>
          <t>1 万字以上即可投稿，门槛低</t>
        </is>
      </c>
      <c r="G17" s="6" t="inlineStr">
        <is>
          <t>月结</t>
        </is>
      </c>
      <c r="H17" s="7" t="n">
        <v>0</v>
      </c>
      <c r="I17" s="7" t="n">
        <v>5000</v>
      </c>
      <c r="J17" s="4" t="inlineStr">
        <is>
          <t>高</t>
        </is>
      </c>
      <c r="K17" s="6" t="inlineStr">
        <is>
          <t>短篇/故事作者，擅长强冲突、快节奏</t>
        </is>
      </c>
      <c r="L17" s="6" t="inlineStr">
        <is>
          <t>短篇市场容量有限，不适合长篇选手；与知乎致知计划是两套体系</t>
        </is>
      </c>
    </row>
    <row r="18" ht="35" customHeight="1">
      <c r="A18" s="4" t="n">
        <v>15</v>
      </c>
      <c r="B18" s="5" t="inlineStr">
        <is>
          <t>知识星球</t>
        </is>
      </c>
      <c r="C18" s="6" t="inlineStr">
        <is>
          <t>知识付费社群</t>
        </is>
      </c>
      <c r="D18" s="6" t="inlineStr">
        <is>
          <t>付费社群会员费</t>
        </is>
      </c>
      <c r="E18" s="6" t="inlineStr">
        <is>
          <t>平台抽成约 20%（含税费与手续费，按星球规模、付费方式浮动，年付比例通常更低）</t>
        </is>
      </c>
      <c r="F18" s="6" t="inlineStr">
        <is>
          <t>无粉丝门槛，但需自带流量和信任基础</t>
        </is>
      </c>
      <c r="G18" s="6" t="inlineStr">
        <is>
          <t>周结 / T+1</t>
        </is>
      </c>
      <c r="H18" s="7" t="n">
        <v>0</v>
      </c>
      <c r="I18" s="7" t="n">
        <v>30000</v>
      </c>
      <c r="J18" s="4" t="inlineStr">
        <is>
          <t>高</t>
        </is>
      </c>
      <c r="K18" s="6" t="inlineStr">
        <is>
          <t>有私域、有专业积累、能做持续交付的人</t>
        </is>
      </c>
      <c r="L18" s="6" t="inlineStr">
        <is>
          <t>20% 抽成要算进定价；冷启动几乎全靠公众号/知乎导流</t>
        </is>
      </c>
    </row>
    <row r="19" ht="49.5" customHeight="1">
      <c r="A19" s="4" t="n">
        <v>16</v>
      </c>
      <c r="B19" s="5" t="inlineStr">
        <is>
          <t>小报童</t>
        </is>
      </c>
      <c r="C19" s="6" t="inlineStr">
        <is>
          <t>付费专栏</t>
        </is>
      </c>
      <c r="D19" s="6" t="inlineStr">
        <is>
          <t>付费专栏（买断制 / 订阅制）</t>
        </is>
      </c>
      <c r="E19" s="6" t="inlineStr">
        <is>
          <t>平台服务费约 10%（另计支付通道费，以官方最新说明为准）；买断制定价常见 9.9–99 元</t>
        </is>
      </c>
      <c r="F19" s="6" t="inlineStr">
        <is>
          <t>需邀请码或申请开通</t>
        </is>
      </c>
      <c r="G19" s="6" t="inlineStr">
        <is>
          <t>微信支付，实时到账</t>
        </is>
      </c>
      <c r="H19" s="7" t="n">
        <v>0</v>
      </c>
      <c r="I19" s="7" t="n">
        <v>5000</v>
      </c>
      <c r="J19" s="4" t="inlineStr">
        <is>
          <t>中</t>
        </is>
      </c>
      <c r="K19" s="6" t="inlineStr">
        <is>
          <t>轻量付费专栏、newsletter、单主题小册</t>
        </is>
      </c>
      <c r="L19" s="6" t="inlineStr">
        <is>
          <t>用户基数小，站内流量有限，主要靠自有渠道分发</t>
        </is>
      </c>
    </row>
    <row r="20" ht="49.5" customHeight="1">
      <c r="A20" s="4" t="n">
        <v>17</v>
      </c>
      <c r="B20" s="5" t="inlineStr">
        <is>
          <t>CSDN</t>
        </is>
      </c>
      <c r="C20" s="6" t="inlineStr">
        <is>
          <t>技术社区</t>
        </is>
      </c>
      <c r="D20" s="6" t="inlineStr">
        <is>
          <t>付费专栏 + VIP 文章分润 + 打赏 + 征文奖金</t>
        </is>
      </c>
      <c r="E20" s="6" t="inlineStr">
        <is>
          <t>付费专栏作者分成 90%（平台抽 10%）；VIP 文章按会员阅读分润；征文活动 50–500 元/篇</t>
        </is>
      </c>
      <c r="F20" s="6" t="inlineStr">
        <is>
          <t>需达到创作等级并开通原创 / 付费权限</t>
        </is>
      </c>
      <c r="G20" s="6" t="inlineStr">
        <is>
          <t>月结</t>
        </is>
      </c>
      <c r="H20" s="7" t="n">
        <v>0</v>
      </c>
      <c r="I20" s="7" t="n">
        <v>3000</v>
      </c>
      <c r="J20" s="4" t="inlineStr">
        <is>
          <t>中</t>
        </is>
      </c>
      <c r="K20" s="6" t="inlineStr">
        <is>
          <t>程序员、技术博主、有体系化知识的人</t>
        </is>
      </c>
      <c r="L20" s="6" t="inlineStr">
        <is>
          <t>广告多、社区口碑两极；付费专栏是真正的主力收入</t>
        </is>
      </c>
    </row>
    <row r="21" ht="49.5" customHeight="1">
      <c r="A21" s="4" t="n">
        <v>18</v>
      </c>
      <c r="B21" s="5" t="inlineStr">
        <is>
          <t>掘金</t>
        </is>
      </c>
      <c r="C21" s="6" t="inlineStr">
        <is>
          <t>技术社区</t>
        </is>
      </c>
      <c r="D21" s="6" t="inlineStr">
        <is>
          <t>创作者激励（矿石/贝壳）+ 专栏 + 活动奖金</t>
        </is>
      </c>
      <c r="E21" s="6" t="inlineStr">
        <is>
          <t>无稳定阅读分成，主要靠征文/活动奖金与专栏；折算现金较低</t>
        </is>
      </c>
      <c r="F21" s="6" t="inlineStr">
        <is>
          <t>注册即可发文</t>
        </is>
      </c>
      <c r="G21" s="6" t="inlineStr">
        <is>
          <t>活动结束后结算</t>
        </is>
      </c>
      <c r="H21" s="7" t="n">
        <v>0</v>
      </c>
      <c r="I21" s="7" t="n">
        <v>1000</v>
      </c>
      <c r="J21" s="4" t="inlineStr">
        <is>
          <t>低</t>
        </is>
      </c>
      <c r="K21" s="6" t="inlineStr">
        <is>
          <t>建立技术影响力、为接私活/求职引流</t>
        </is>
      </c>
      <c r="L21" s="6" t="inlineStr">
        <is>
          <t>直接变现能力弱，价值在个人品牌和流量外溢</t>
        </is>
      </c>
    </row>
    <row r="22" ht="93" customHeight="1">
      <c r="A22" s="4" t="n">
        <v>19</v>
      </c>
      <c r="B22" s="5" t="inlineStr">
        <is>
          <t>媒体 / 公众号征稿</t>
        </is>
      </c>
      <c r="C22" s="6" t="inlineStr">
        <is>
          <t>投稿约稿</t>
        </is>
      </c>
      <c r="D22" s="6" t="inlineStr">
        <is>
          <t>一次性稿酬（部分含流量奖励）</t>
        </is>
      </c>
      <c r="E22" s="6" t="inlineStr">
        <is>
          <t>头部账号 3000 字深度稿 2000–5000 元/篇；普通号 300–1500 元/篇；地方媒体副刊约 300 元/千字；行业媒体评论/专栏 200–1000 元/千字；新闻稿/专题 300–800 元/千字</t>
        </is>
      </c>
      <c r="F22" s="6" t="inlineStr">
        <is>
          <t>投稿审核；需匹配选题方向与调性</t>
        </is>
      </c>
      <c r="G22" s="6" t="inlineStr">
        <is>
          <t>见刊后月结（常见次月 20 日统计、月底前支付）</t>
        </is>
      </c>
      <c r="H22" s="7" t="n">
        <v>0</v>
      </c>
      <c r="I22" s="7" t="n">
        <v>5000</v>
      </c>
      <c r="J22" s="4" t="inlineStr">
        <is>
          <t>中</t>
        </is>
      </c>
      <c r="K22" s="6" t="inlineStr">
        <is>
          <t>有写作功底、擅长深度内容、不想运营账号的人</t>
        </is>
      </c>
      <c r="L22" s="6" t="inlineStr">
        <is>
          <t>稿酬个税按 20% 税率减征 30%，实际约 14%；一稿多投要先确认是否允许</t>
        </is>
      </c>
    </row>
    <row r="23" ht="49.5" customHeight="1">
      <c r="A23" s="4" t="n">
        <v>20</v>
      </c>
      <c r="B23" s="5" t="inlineStr">
        <is>
          <t>Medium（海外）</t>
        </is>
      </c>
      <c r="C23" s="6" t="inlineStr">
        <is>
          <t>海外图文</t>
        </is>
      </c>
      <c r="D23" s="6" t="inlineStr">
        <is>
          <t>Partner Program 会员阅读时长分成 + 打赏</t>
        </is>
      </c>
      <c r="E23" s="6" t="inlineStr">
        <is>
          <t>无固定单价，按会员阅读时长计费，通常折合 0.01–0.05 美元/阅读；中文内容收益明显偏低</t>
        </is>
      </c>
      <c r="F23" s="6" t="inlineStr">
        <is>
          <t>加入 Partner Program，绑定 Stripe 收款</t>
        </is>
      </c>
      <c r="G23" s="6" t="inlineStr">
        <is>
          <t>月结（Stripe 打款）</t>
        </is>
      </c>
      <c r="H23" s="7" t="n">
        <v>0</v>
      </c>
      <c r="I23" s="7" t="n">
        <v>300</v>
      </c>
      <c r="J23" s="4" t="inlineStr">
        <is>
          <t>低</t>
        </is>
      </c>
      <c r="K23" s="6" t="inlineStr">
        <is>
          <t>英文写作、技术/设计/职场话题</t>
        </is>
      </c>
      <c r="L23" s="6" t="inlineStr">
        <is>
          <t>中文流量少，想做起来必须英文输出；国内收款需处理 Stripe 账户</t>
        </is>
      </c>
    </row>
    <row r="24" ht="49.5" customHeight="1">
      <c r="A24" s="4" t="n">
        <v>21</v>
      </c>
      <c r="B24" s="5" t="inlineStr">
        <is>
          <t>Substack（海外）</t>
        </is>
      </c>
      <c r="C24" s="6" t="inlineStr">
        <is>
          <t>付费 newsletter</t>
        </is>
      </c>
      <c r="D24" s="6" t="inlineStr">
        <is>
          <t>付费订阅</t>
        </is>
      </c>
      <c r="E24" s="6" t="inlineStr">
        <is>
          <t>平台抽成 10%，另加 Stripe 支付手续费约 2.9% + 0.3 美元/笔；订阅定价常见 5–15 美元/月</t>
        </is>
      </c>
      <c r="F24" s="6" t="inlineStr">
        <is>
          <t>无门槛，但需自带读者</t>
        </is>
      </c>
      <c r="G24" s="6" t="inlineStr">
        <is>
          <t>Stripe 周结</t>
        </is>
      </c>
      <c r="H24" s="7" t="n">
        <v>0</v>
      </c>
      <c r="I24" s="7" t="n">
        <v>20000</v>
      </c>
      <c r="J24" s="4" t="inlineStr">
        <is>
          <t>高</t>
        </is>
      </c>
      <c r="K24" s="6" t="inlineStr">
        <is>
          <t>有英文读者基础、垂直领域专家</t>
        </is>
      </c>
      <c r="L24" s="6" t="inlineStr">
        <is>
          <t>冷启动极难，几乎没有站内流量；国内读者付费意愿低</t>
        </is>
      </c>
    </row>
  </sheetData>
  <autoFilter ref="A3:L24"/>
  <mergeCells count="2">
    <mergeCell ref="A2:L2"/>
    <mergeCell ref="A1:L1"/>
  </mergeCells>
  <conditionalFormatting sqref="J4:J24">
    <cfRule type="expression" priority="1" dxfId="0" stopIfTrue="0">
      <formula>OR($J4="极高",$J4="高")</formula>
    </cfRule>
    <cfRule type="expression" priority="2" dxfId="1" stopIfTrue="0">
      <formula>$J4="中"</formula>
    </cfRule>
    <cfRule type="expression" priority="3" dxfId="2" stopIfTrue="0">
      <formula>$J4="低"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472C4"/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26" customWidth="1" min="5" max="5"/>
    <col width="52" customWidth="1" min="6" max="6"/>
  </cols>
  <sheetData>
    <row r="1" ht="30" customHeight="1">
      <c r="A1" s="1" t="inlineStr">
        <is>
          <t>图文流量分成单价速查</t>
        </is>
      </c>
    </row>
    <row r="2" ht="18" customHeight="1">
      <c r="A2" s="2" t="inlineStr">
        <is>
          <t>仅统计按阅读量分成的平台；无阅读分成的平台（小红书、番茄等）见「稿酬与分成」表</t>
        </is>
      </c>
    </row>
    <row r="3" ht="34" customHeight="1">
      <c r="A3" s="3" t="inlineStr">
        <is>
          <t>平台</t>
        </is>
      </c>
      <c r="B3" s="3" t="inlineStr">
        <is>
          <t>单价下限
（元/万次阅读）</t>
        </is>
      </c>
      <c r="C3" s="3" t="inlineStr">
        <is>
          <t>单价上限
（元/万次阅读）</t>
        </is>
      </c>
      <c r="D3" s="3" t="inlineStr">
        <is>
          <t>中位单价
（元/万次阅读）</t>
        </is>
      </c>
      <c r="E3" s="3" t="inlineStr">
        <is>
          <t>原创 / 优质加成</t>
        </is>
      </c>
      <c r="F3" s="3" t="inlineStr">
        <is>
          <t>计价要点</t>
        </is>
      </c>
    </row>
    <row r="4" ht="49.5" customHeight="1">
      <c r="A4" s="5" t="inlineStr">
        <is>
          <t>今日头条</t>
        </is>
      </c>
      <c r="B4" s="8" t="n">
        <v>3</v>
      </c>
      <c r="C4" s="8" t="n">
        <v>15</v>
      </c>
      <c r="D4" s="8">
        <f>IF(OR(B4="",C4=""),"",AVERAGE(B4:C4))</f>
        <v>9.0</v>
      </c>
      <c r="E4" s="6" t="inlineStr">
        <is>
          <t>原创优质 5–10 元；深度长文可达 30–80 元</t>
        </is>
      </c>
      <c r="F4" s="6" t="inlineStr">
        <is>
          <t>千次阅读单价 × 互动系数（最高 3 倍）× 获利阅读量 ÷ 1000</t>
        </is>
      </c>
    </row>
    <row r="5" ht="35" customHeight="1">
      <c r="A5" s="5" t="inlineStr">
        <is>
          <t>百家号</t>
        </is>
      </c>
      <c r="B5" s="8" t="n">
        <v>2</v>
      </c>
      <c r="C5" s="8" t="n">
        <v>10</v>
      </c>
      <c r="D5" s="8">
        <f>IF(OR(B5="",C5=""),"",AVERAGE(B5:C5))</f>
        <v>6.0</v>
      </c>
      <c r="E5" s="6" t="inlineStr">
        <is>
          <t>优质原创 10–20 元</t>
        </is>
      </c>
      <c r="F5" s="6" t="inlineStr">
        <is>
          <t>未转正无收益；单价由账号权限、内容质量、领域价值共同决定</t>
        </is>
      </c>
    </row>
    <row r="6" ht="35" customHeight="1">
      <c r="A6" s="5" t="inlineStr">
        <is>
          <t>微信公众号</t>
        </is>
      </c>
      <c r="B6" s="8" t="n">
        <v>30</v>
      </c>
      <c r="C6" s="8" t="n">
        <v>200</v>
      </c>
      <c r="D6" s="8">
        <f>IF(OR(B6="",C6=""),"",AVERAGE(B6:C6))</f>
        <v>115.0</v>
      </c>
      <c r="E6" s="6" t="inlineStr">
        <is>
          <t>原创 + 高互动可上探，垂直号 eCPM 更高</t>
        </is>
      </c>
      <c r="F6" s="6" t="inlineStr">
        <is>
          <t>eCPM 3–20 元/千次曝光，实测 1.9–170 元/千次都出现过，波动极大</t>
        </is>
      </c>
    </row>
    <row r="7" ht="35" customHeight="1">
      <c r="A7" s="5" t="inlineStr">
        <is>
          <t>知乎（致知计划）</t>
        </is>
      </c>
      <c r="B7" s="8" t="n">
        <v>5</v>
      </c>
      <c r="C7" s="8" t="n">
        <v>30</v>
      </c>
      <c r="D7" s="8">
        <f>IF(OR(B7="",C7=""),"",AVERAGE(B7:C7))</f>
        <v>17.5</v>
      </c>
      <c r="E7" s="6" t="inlineStr">
        <is>
          <t>专业领域权重高者可上探</t>
        </is>
      </c>
      <c r="F7" s="6" t="inlineStr">
        <is>
          <t>按万次有效阅读计价；明确排除 AI 生成与 AI 辅助内容</t>
        </is>
      </c>
    </row>
    <row r="8" ht="20.5" customHeight="1">
      <c r="A8" s="5" t="inlineStr">
        <is>
          <t>大鱼号</t>
        </is>
      </c>
      <c r="B8" s="8" t="n">
        <v>15</v>
      </c>
      <c r="C8" s="8" t="n">
        <v>20</v>
      </c>
      <c r="D8" s="8">
        <f>IF(OR(B8="",C8=""),"",AVERAGE(B8:C8))</f>
        <v>17.5</v>
      </c>
      <c r="E8" s="6" t="inlineStr">
        <is>
          <t>过原创后更高</t>
        </is>
      </c>
      <c r="F8" s="6" t="inlineStr">
        <is>
          <t>名义单价偏高，但平台投入收缩，实际到手常低于标称</t>
        </is>
      </c>
    </row>
    <row r="9" ht="20.5" customHeight="1">
      <c r="A9" s="5" t="inlineStr">
        <is>
          <t>网易号</t>
        </is>
      </c>
      <c r="B9" s="8" t="n">
        <v>3</v>
      </c>
      <c r="C9" s="8" t="n">
        <v>8</v>
      </c>
      <c r="D9" s="8">
        <f>IF(OR(B9="",C9=""),"",AVERAGE(B9:C9))</f>
        <v>5.5</v>
      </c>
      <c r="E9" s="6" t="inlineStr">
        <is>
          <t>原创略有加成</t>
        </is>
      </c>
      <c r="F9" s="6" t="inlineStr">
        <is>
          <t>流量集中在新闻和评论，长尾弱</t>
        </is>
      </c>
    </row>
    <row r="10" ht="20.5" customHeight="1">
      <c r="A10" s="5" t="inlineStr">
        <is>
          <t>企鹅号</t>
        </is>
      </c>
      <c r="B10" s="8" t="n">
        <v>5</v>
      </c>
      <c r="C10" s="8" t="n">
        <v>10</v>
      </c>
      <c r="D10" s="8">
        <f>IF(OR(B10="",C10=""),"",AVERAGE(B10:C10))</f>
        <v>7.5</v>
      </c>
      <c r="E10" s="6" t="inlineStr">
        <is>
          <t>—</t>
        </is>
      </c>
      <c r="F10" s="6" t="inlineStr">
        <is>
          <t>已并入腾讯新闻创作平台，规则多次调整</t>
        </is>
      </c>
    </row>
    <row r="11" ht="20.5" customHeight="1">
      <c r="A11" s="5" t="inlineStr">
        <is>
          <t>搜狐号</t>
        </is>
      </c>
      <c r="B11" s="8" t="n">
        <v>2</v>
      </c>
      <c r="C11" s="8" t="n">
        <v>6</v>
      </c>
      <c r="D11" s="8">
        <f>IF(OR(B11="",C11=""),"",AVERAGE(B11:C11))</f>
        <v>4.0</v>
      </c>
      <c r="E11" s="6" t="inlineStr">
        <is>
          <t>—</t>
        </is>
      </c>
      <c r="F11" s="6" t="inlineStr">
        <is>
          <t>单价最低，但百度收录好，适合做搜索曝光</t>
        </is>
      </c>
    </row>
    <row r="12" ht="30" customHeight="1">
      <c r="A12" s="9" t="inlineStr">
        <is>
          <t>平均</t>
        </is>
      </c>
      <c r="B12" s="10">
        <f>AVERAGE(B4:B11)</f>
        <v>8.125</v>
      </c>
      <c r="C12" s="10">
        <f>AVERAGE(C4:C11)</f>
        <v>37.375</v>
      </c>
      <c r="D12" s="10">
        <f>AVERAGE(D4:D11)</f>
        <v>22.75</v>
      </c>
      <c r="E12" s="9" t="inlineStr">
        <is>
          <t>—</t>
        </is>
      </c>
      <c r="F12" s="9" t="inlineStr">
        <is>
          <t>平均值受微信公众号高单价拉动，看中位数更接近普通创作者体感</t>
        </is>
      </c>
    </row>
  </sheetData>
  <mergeCells count="2">
    <mergeCell ref="A2:F2"/>
    <mergeCell ref="A1:F1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>
  <sheetPr>
    <tabColor rgb="FF4472C4"/>
    <outlinePr summaryBelow="1" summaryRight="1"/>
    <pageSetUpPr/>
  </sheetPr>
  <dimension ref="A1:G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46" customWidth="1" min="4" max="4"/>
    <col width="26" customWidth="1" min="5" max="5"/>
    <col width="16" customWidth="1" min="6" max="6"/>
    <col width="30" customWidth="1" min="7" max="7"/>
  </cols>
  <sheetData>
    <row r="1" ht="30" customHeight="1">
      <c r="A1" s="1" t="inlineStr">
        <is>
          <t>稿酬与分成标准（网文 / 知识付费 / 技术社区 / 投稿 / 海外）</t>
        </is>
      </c>
    </row>
    <row r="2" ht="18" customHeight="1">
      <c r="A2" s="2" t="inlineStr">
        <is>
          <t>分成比例为「作者实际到手占收入的比例」，空白表示该模式不按比例分成</t>
        </is>
      </c>
    </row>
    <row r="3" ht="34" customHeight="1">
      <c r="A3" s="3" t="inlineStr">
        <is>
          <t>平台</t>
        </is>
      </c>
      <c r="B3" s="3" t="inlineStr">
        <is>
          <t>收费模式</t>
        </is>
      </c>
      <c r="C3" s="3" t="inlineStr">
        <is>
          <t>作者分成比例</t>
        </is>
      </c>
      <c r="D3" s="3" t="inlineStr">
        <is>
          <t>单价 / 稿酬标准</t>
        </is>
      </c>
      <c r="E3" s="3" t="inlineStr">
        <is>
          <t>起付 / 门槛</t>
        </is>
      </c>
      <c r="F3" s="3" t="inlineStr">
        <is>
          <t>结算</t>
        </is>
      </c>
      <c r="G3" s="3" t="inlineStr">
        <is>
          <t>说明</t>
        </is>
      </c>
    </row>
    <row r="4" ht="35" customHeight="1">
      <c r="A4" s="5" t="inlineStr">
        <is>
          <t>番茄小说</t>
        </is>
      </c>
      <c r="B4" s="6" t="inlineStr">
        <is>
          <t>免费阅读·广告分成</t>
        </is>
      </c>
      <c r="C4" s="11" t="n">
        <v>0.55</v>
      </c>
      <c r="D4" s="6" t="inlineStr">
        <is>
          <t>全勤 600–800 元/月；短故事 80–700 元/千字</t>
        </is>
      </c>
      <c r="E4" s="6" t="inlineStr">
        <is>
          <t>2 万字可签约；全勤需满 10 万字</t>
        </is>
      </c>
      <c r="F4" s="6" t="inlineStr">
        <is>
          <t>月结</t>
        </is>
      </c>
      <c r="G4" s="6" t="inlineStr">
        <is>
          <t>走量逻辑，爆款率不足 0.8%</t>
        </is>
      </c>
    </row>
    <row r="5" ht="35" customHeight="1">
      <c r="A5" s="5" t="inlineStr">
        <is>
          <t>起点中文网</t>
        </is>
      </c>
      <c r="B5" s="6" t="inlineStr">
        <is>
          <t>付费订阅</t>
        </is>
      </c>
      <c r="C5" s="12" t="n"/>
      <c r="D5" s="6" t="inlineStr">
        <is>
          <t>新人保护 1500 元/月 × 3；均订&gt;500 后 1000 元/月</t>
        </is>
      </c>
      <c r="E5" s="6" t="inlineStr">
        <is>
          <t>编辑签约，拒稿率&gt;70%</t>
        </is>
      </c>
      <c r="F5" s="6" t="inlineStr">
        <is>
          <t>月结</t>
        </is>
      </c>
      <c r="G5" s="6" t="inlineStr">
        <is>
          <t>作者分成约 50%–70%，视具体合约</t>
        </is>
      </c>
    </row>
    <row r="6" ht="20.5" customHeight="1">
      <c r="A6" s="5" t="inlineStr">
        <is>
          <t>晋江文学城</t>
        </is>
      </c>
      <c r="B6" s="6" t="inlineStr">
        <is>
          <t>付费订阅 + 版权代理</t>
        </is>
      </c>
      <c r="C6" s="12" t="n"/>
      <c r="D6" s="6" t="inlineStr">
        <is>
          <t>订阅分成；影视改编五五分成</t>
        </is>
      </c>
      <c r="E6" s="6" t="inlineStr">
        <is>
          <t>申请签约，审核较严</t>
        </is>
      </c>
      <c r="F6" s="6" t="inlineStr">
        <is>
          <t>月结</t>
        </is>
      </c>
      <c r="G6" s="6" t="inlineStr">
        <is>
          <t>著作权归作者，平台仅代理权</t>
        </is>
      </c>
    </row>
    <row r="7" ht="35" customHeight="1">
      <c r="A7" s="5" t="inlineStr">
        <is>
          <t>七猫小说</t>
        </is>
      </c>
      <c r="B7" s="6" t="inlineStr">
        <is>
          <t>保底 + 广告分成</t>
        </is>
      </c>
      <c r="C7" s="12" t="n"/>
      <c r="D7" s="6" t="inlineStr">
        <is>
          <t>保底 20 元/千字起，可谈至 50–200 元</t>
        </is>
      </c>
      <c r="E7" s="6" t="inlineStr">
        <is>
          <t>训练营 / 投稿审核</t>
        </is>
      </c>
      <c r="F7" s="6" t="inlineStr">
        <is>
          <t>月结</t>
        </is>
      </c>
      <c r="G7" s="6" t="inlineStr">
        <is>
          <t>收入最稳，天花板中等</t>
        </is>
      </c>
    </row>
    <row r="8" ht="35" customHeight="1">
      <c r="A8" s="5" t="inlineStr">
        <is>
          <t>知乎盐言故事</t>
        </is>
      </c>
      <c r="B8" s="6" t="inlineStr">
        <is>
          <t>会员付费分成</t>
        </is>
      </c>
      <c r="C8" s="11" t="n">
        <v>0.5</v>
      </c>
      <c r="D8" s="6" t="inlineStr">
        <is>
          <t>买断或 50% 分成；爆款单月可破 5 万</t>
        </is>
      </c>
      <c r="E8" s="6" t="inlineStr">
        <is>
          <t>1 万字可投稿</t>
        </is>
      </c>
      <c r="F8" s="6" t="inlineStr">
        <is>
          <t>月结</t>
        </is>
      </c>
      <c r="G8" s="6" t="inlineStr">
        <is>
          <t>短篇赛道，长尾分成可持续数年</t>
        </is>
      </c>
    </row>
    <row r="9" ht="20.5" customHeight="1">
      <c r="A9" s="5" t="inlineStr">
        <is>
          <t>知识星球</t>
        </is>
      </c>
      <c r="B9" s="6" t="inlineStr">
        <is>
          <t>付费社群</t>
        </is>
      </c>
      <c r="C9" s="11" t="n">
        <v>0.8</v>
      </c>
      <c r="D9" s="6" t="inlineStr">
        <is>
          <t>会员费自定，常见 99–365 元/年</t>
        </is>
      </c>
      <c r="E9" s="6" t="inlineStr">
        <is>
          <t>无门槛，需自带流量</t>
        </is>
      </c>
      <c r="F9" s="6" t="inlineStr">
        <is>
          <t>周结 / T+1</t>
        </is>
      </c>
      <c r="G9" s="6" t="inlineStr">
        <is>
          <t>平台抽成约 20%</t>
        </is>
      </c>
    </row>
    <row r="10" ht="35" customHeight="1">
      <c r="A10" s="5" t="inlineStr">
        <is>
          <t>小报童</t>
        </is>
      </c>
      <c r="B10" s="6" t="inlineStr">
        <is>
          <t>付费专栏</t>
        </is>
      </c>
      <c r="C10" s="11" t="n">
        <v>0.9</v>
      </c>
      <c r="D10" s="6" t="inlineStr">
        <is>
          <t>买断 9.9–99 元/册</t>
        </is>
      </c>
      <c r="E10" s="6" t="inlineStr">
        <is>
          <t>邀请码 / 申请</t>
        </is>
      </c>
      <c r="F10" s="6" t="inlineStr">
        <is>
          <t>实时到账</t>
        </is>
      </c>
      <c r="G10" s="6" t="inlineStr">
        <is>
          <t>服务费约 10%，另计支付通道费</t>
        </is>
      </c>
    </row>
    <row r="11" ht="35" customHeight="1">
      <c r="A11" s="5" t="inlineStr">
        <is>
          <t>CSDN</t>
        </is>
      </c>
      <c r="B11" s="6" t="inlineStr">
        <is>
          <t>付费专栏</t>
        </is>
      </c>
      <c r="C11" s="11" t="n">
        <v>0.9</v>
      </c>
      <c r="D11" s="6" t="inlineStr">
        <is>
          <t>专栏定价自定，常见 19.9–199 元</t>
        </is>
      </c>
      <c r="E11" s="6" t="inlineStr">
        <is>
          <t>创作等级 + 原创权限</t>
        </is>
      </c>
      <c r="F11" s="6" t="inlineStr">
        <is>
          <t>月结</t>
        </is>
      </c>
      <c r="G11" s="6" t="inlineStr">
        <is>
          <t>平台抽 10%，技术类最友好的分成</t>
        </is>
      </c>
    </row>
    <row r="12" ht="20.5" customHeight="1">
      <c r="A12" s="5" t="inlineStr">
        <is>
          <t>掘金</t>
        </is>
      </c>
      <c r="B12" s="6" t="inlineStr">
        <is>
          <t>激励 + 活动奖金</t>
        </is>
      </c>
      <c r="C12" s="12" t="n"/>
      <c r="D12" s="6" t="inlineStr">
        <is>
          <t>以征文奖金为主，折算现金低</t>
        </is>
      </c>
      <c r="E12" s="6" t="inlineStr">
        <is>
          <t>无</t>
        </is>
      </c>
      <c r="F12" s="6" t="inlineStr">
        <is>
          <t>活动结算</t>
        </is>
      </c>
      <c r="G12" s="6" t="inlineStr">
        <is>
          <t>直接变现弱，重在影响力</t>
        </is>
      </c>
    </row>
    <row r="13" ht="35" customHeight="1">
      <c r="A13" s="5" t="inlineStr">
        <is>
          <t>媒体 / 公众号征稿</t>
        </is>
      </c>
      <c r="B13" s="6" t="inlineStr">
        <is>
          <t>一次性稿酬</t>
        </is>
      </c>
      <c r="C13" s="12" t="n"/>
      <c r="D13" s="6" t="inlineStr">
        <is>
          <t>300–5000 元/篇；200–1000 元/千字</t>
        </is>
      </c>
      <c r="E13" s="6" t="inlineStr">
        <is>
          <t>投稿审核</t>
        </is>
      </c>
      <c r="F13" s="6" t="inlineStr">
        <is>
          <t>见刊后月结</t>
        </is>
      </c>
      <c r="G13" s="6" t="inlineStr">
        <is>
          <t>稿酬个税实际约 14%</t>
        </is>
      </c>
    </row>
    <row r="14" ht="35" customHeight="1">
      <c r="A14" s="5" t="inlineStr">
        <is>
          <t>Medium（海外）</t>
        </is>
      </c>
      <c r="B14" s="6" t="inlineStr">
        <is>
          <t>会员阅读时长分成</t>
        </is>
      </c>
      <c r="C14" s="12" t="n"/>
      <c r="D14" s="6" t="inlineStr">
        <is>
          <t>约 0.01–0.05 美元/阅读</t>
        </is>
      </c>
      <c r="E14" s="6" t="inlineStr">
        <is>
          <t>加入 Partner Program</t>
        </is>
      </c>
      <c r="F14" s="6" t="inlineStr">
        <is>
          <t>月结</t>
        </is>
      </c>
      <c r="G14" s="6" t="inlineStr">
        <is>
          <t>中文内容收益低，需英文输出</t>
        </is>
      </c>
    </row>
    <row r="15" ht="35" customHeight="1">
      <c r="A15" s="5" t="inlineStr">
        <is>
          <t>Substack（海外）</t>
        </is>
      </c>
      <c r="B15" s="6" t="inlineStr">
        <is>
          <t>付费订阅</t>
        </is>
      </c>
      <c r="C15" s="11" t="n">
        <v>0.9</v>
      </c>
      <c r="D15" s="6" t="inlineStr">
        <is>
          <t>常见 5–15 美元/月/人</t>
        </is>
      </c>
      <c r="E15" s="6" t="inlineStr">
        <is>
          <t>无门槛，需自带读者</t>
        </is>
      </c>
      <c r="F15" s="6" t="inlineStr">
        <is>
          <t>Stripe 周结</t>
        </is>
      </c>
      <c r="G15" s="6" t="inlineStr">
        <is>
          <t>平台抽 10% + 支付手续费</t>
        </is>
      </c>
    </row>
  </sheetData>
  <autoFilter ref="A3:G15"/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18" customWidth="1" min="4" max="4"/>
    <col width="62" customWidth="1" min="5" max="5"/>
  </cols>
  <sheetData>
    <row r="1" ht="30" customHeight="1">
      <c r="A1" s="1" t="inlineStr">
        <is>
          <t>按目标选平台：7 种典型情况的推荐组合</t>
        </is>
      </c>
    </row>
    <row r="2" ht="18" customHeight="1">
      <c r="A2" s="2" t="inlineStr">
        <is>
          <t>同一份内容按平台习惯改写，别原封不动复制粘贴</t>
        </is>
      </c>
    </row>
    <row r="3" ht="34" customHeight="1">
      <c r="A3" s="3" t="inlineStr">
        <is>
          <t>序号</t>
        </is>
      </c>
      <c r="B3" s="3" t="inlineStr">
        <is>
          <t>你的情况 / 目标</t>
        </is>
      </c>
      <c r="C3" s="3" t="inlineStr">
        <is>
          <t>推荐组合（按优先级）</t>
        </is>
      </c>
      <c r="D3" s="3" t="inlineStr">
        <is>
          <t>预期月收入（元）</t>
        </is>
      </c>
      <c r="E3" s="3" t="inlineStr">
        <is>
          <t>关键动作与提醒</t>
        </is>
      </c>
    </row>
    <row r="4" ht="35" customHeight="1">
      <c r="A4" s="4" t="n">
        <v>1</v>
      </c>
      <c r="B4" s="6" t="inlineStr">
        <is>
          <t>零基础，想最快拿到第一笔钱</t>
        </is>
      </c>
      <c r="C4" s="5" t="inlineStr">
        <is>
          <t>今日头条 → 百家号 → 微信公众号</t>
        </is>
      </c>
      <c r="D4" s="4" t="inlineStr">
        <is>
          <t>0–1000</t>
        </is>
      </c>
      <c r="E4" s="6" t="inlineStr">
        <is>
          <t>头条 0 粉丝就能开创作收益，日更 1 篇 1500 字，优先写热点和故事；跑通后再同步百家号拿搜索流量</t>
        </is>
      </c>
    </row>
    <row r="5" ht="35" customHeight="1">
      <c r="A5" s="4" t="n">
        <v>2</v>
      </c>
      <c r="B5" s="6" t="inlineStr">
        <is>
          <t>有专业领域（职场/育儿/理财/AI）</t>
        </is>
      </c>
      <c r="C5" s="5" t="inlineStr">
        <is>
          <t>知乎 + 小红书 + 公众号</t>
        </is>
      </c>
      <c r="D5" s="4" t="inlineStr">
        <is>
          <t>1000–20000</t>
        </is>
      </c>
      <c r="E5" s="6" t="inlineStr">
        <is>
          <t>知乎吃搜索长尾、小红书找精准客户、公众号承接复购；一个选题改写成三个版本</t>
        </is>
      </c>
    </row>
    <row r="6" ht="35" customHeight="1">
      <c r="A6" s="4" t="n">
        <v>3</v>
      </c>
      <c r="B6" s="6" t="inlineStr">
        <is>
          <t>想写小说，能接受慢</t>
        </is>
      </c>
      <c r="C6" s="5" t="inlineStr">
        <is>
          <t>番茄小说（试错）→ 起点 / 晋江（长线）</t>
        </is>
      </c>
      <c r="D6" s="4" t="inlineStr">
        <is>
          <t>0–5000</t>
        </is>
      </c>
      <c r="E6" s="6" t="inlineStr">
        <is>
          <t>番茄 2 万字签约试水，数据好再转付费平台；女频优先晋江（版权最友好），追求天花板选起点</t>
        </is>
      </c>
    </row>
    <row r="7" ht="35" customHeight="1">
      <c r="A7" s="4" t="n">
        <v>4</v>
      </c>
      <c r="B7" s="6" t="inlineStr">
        <is>
          <t>只想拿稿费，不想运营账号</t>
        </is>
      </c>
      <c r="C7" s="5" t="inlineStr">
        <is>
          <t>行业媒体 / 公众号征稿</t>
        </is>
      </c>
      <c r="D7" s="4" t="inlineStr">
        <is>
          <t>500–5000</t>
        </is>
      </c>
      <c r="E7" s="6" t="inlineStr">
        <is>
          <t>先攒 3–5 篇代表作，再投垂直行业号，单篇 300–1500 元；注意稿酬个税实际约 14%</t>
        </is>
      </c>
    </row>
    <row r="8" ht="35" customHeight="1">
      <c r="A8" s="4" t="n">
        <v>5</v>
      </c>
      <c r="B8" s="6" t="inlineStr">
        <is>
          <t>已有粉丝或私域</t>
        </is>
      </c>
      <c r="C8" s="5" t="inlineStr">
        <is>
          <t>知识星球 + 公众号</t>
        </is>
      </c>
      <c r="D8" s="4" t="inlineStr">
        <is>
          <t>3000–30000</t>
        </is>
      </c>
      <c r="E8" s="6" t="inlineStr">
        <is>
          <t>定价 99–365 元/年，注意平台抽成约 20%；先做小范围验证再放量</t>
        </is>
      </c>
    </row>
    <row r="9" ht="35" customHeight="1">
      <c r="A9" s="4" t="n">
        <v>6</v>
      </c>
      <c r="B9" s="6" t="inlineStr">
        <is>
          <t>会技术，想长期做个人 IP</t>
        </is>
      </c>
      <c r="C9" s="5" t="inlineStr">
        <is>
          <t>CSDN + 掘金 + 公众号</t>
        </is>
      </c>
      <c r="D9" s="4" t="inlineStr">
        <is>
          <t>0–3000</t>
        </is>
      </c>
      <c r="E9" s="6" t="inlineStr">
        <is>
          <t>CSDN 付费专栏作者拿 90%，是技术类分成最好的；掘金主要用来引流和背书</t>
        </is>
      </c>
    </row>
    <row r="10" ht="35" customHeight="1">
      <c r="A10" s="4" t="n">
        <v>7</v>
      </c>
      <c r="B10" s="6" t="inlineStr">
        <is>
          <t>英文好，想赚美元</t>
        </is>
      </c>
      <c r="C10" s="5" t="inlineStr">
        <is>
          <t>Substack + Medium</t>
        </is>
      </c>
      <c r="D10" s="4" t="inlineStr">
        <is>
          <t>0–20000（折人民币）</t>
        </is>
      </c>
      <c r="E10" s="6" t="inlineStr">
        <is>
          <t>必须英文输出；Substack 抽 10% + 支付手续费，几乎没有站内流量，冷启动最难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D9E2F3"/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1" t="inlineStr">
        <is>
          <t>说明、计算公式与数据来源</t>
        </is>
      </c>
    </row>
    <row r="2" ht="18" customHeight="1">
      <c r="A2" s="2" t="inlineStr">
        <is>
          <t>整理时间：2026 年 10 月</t>
        </is>
      </c>
    </row>
    <row r="4" ht="24" customHeight="1">
      <c r="A4" s="13" t="inlineStr">
        <is>
          <t>一、收录概况</t>
        </is>
      </c>
    </row>
    <row r="5" ht="20" customHeight="1">
      <c r="A5" s="14" t="inlineStr">
        <is>
          <t>收录平台数（个）</t>
        </is>
      </c>
      <c r="D5" s="15">
        <f>COUNTA('平台总览'!B4:B24)</f>
        <v>21.0</v>
      </c>
    </row>
    <row r="6" ht="20" customHeight="1">
      <c r="A6" s="14" t="inlineStr">
        <is>
          <t>高潜力平台数（潜力=高/极高）</t>
        </is>
      </c>
      <c r="D6" s="15">
        <f>COUNTIF('平台总览'!J4:J24,"高")+COUNTIF('平台总览'!J4:J24,"极高")</f>
        <v>8.0</v>
      </c>
    </row>
    <row r="7" ht="20" customHeight="1">
      <c r="A7" s="14" t="inlineStr">
        <is>
          <t>流量分成类平均单价上限（元/万次阅读）</t>
        </is>
      </c>
      <c r="D7" s="16">
        <f>'流量分成单价'!C12</f>
        <v>37.375</v>
      </c>
    </row>
    <row r="9" ht="24" customHeight="1">
      <c r="A9" s="13" t="inlineStr">
        <is>
          <t>二、数据口径说明</t>
        </is>
      </c>
    </row>
    <row r="10" ht="33" customHeight="1">
      <c r="A10" s="17" t="inlineStr">
        <is>
          <t>1. 表中单价与分成比例均为公开可查的区间参考值，不是平台承诺的固定费率；同一账号不同领域、不同原创等级，实际单价可能相差数倍。</t>
        </is>
      </c>
    </row>
    <row r="11" ht="33" customHeight="1">
      <c r="A11" s="17" t="inlineStr">
        <is>
          <t>2. 「新手月收入」指从零起步、稳定更新 1–3 个月内的常见区间，不含爆款等小概率事件；上限取该平台普通创作者较乐观的水平。</t>
        </is>
      </c>
    </row>
    <row r="12" ht="33" customHeight="1">
      <c r="A12" s="17" t="inlineStr">
        <is>
          <t>3. 海外平台（Medium、Substack）的金额已按 1 美元≈7.1 元人民币折算，仅用于横向比较。</t>
        </is>
      </c>
    </row>
    <row r="13" ht="33" customHeight="1">
      <c r="A13" s="17" t="inlineStr">
        <is>
          <t>4. 各平台规则调整频繁（尤其全勤、流量主门槛、分成比例），实操前请以创作者后台当期公告为准。</t>
        </is>
      </c>
    </row>
    <row r="15" ht="24" customHeight="1">
      <c r="A15" s="13" t="inlineStr">
        <is>
          <t>三、收益计算速记</t>
        </is>
      </c>
    </row>
    <row r="16" ht="33" customHeight="1">
      <c r="A16" s="17" t="inlineStr">
        <is>
          <t>头条号：收益 = 千次阅读单价 × 互动系数（最高 3 倍）× 获利阅读量 ÷ 1000</t>
        </is>
      </c>
    </row>
    <row r="17" ht="33" customHeight="1">
      <c r="A17" s="17" t="inlineStr">
        <is>
          <t>公众号流量主：收益 = 有效曝光 ÷ 1000 × eCPM；接广告另有「粉丝×0.1 + 阅读×0.5」的报价公式</t>
        </is>
      </c>
    </row>
    <row r="18" ht="33" customHeight="1">
      <c r="A18" s="17" t="inlineStr">
        <is>
          <t>小红书：图文报价 ≈ 粉丝数 × 0.1–0.3 元；视频 ≈ 粉丝数 × 0.2–0.5 元；平台另扣 10% 服务费</t>
        </is>
      </c>
    </row>
    <row r="19" ht="33" customHeight="1">
      <c r="A19" s="17" t="inlineStr">
        <is>
          <t>知乎盐选：累计流水 ≤200 元时作者分成 100%，超过 200 元后作者 80%、平台 20%</t>
        </is>
      </c>
    </row>
    <row r="20" ht="33" customHeight="1">
      <c r="A20" s="17" t="inlineStr">
        <is>
          <t>番茄全勤：日更 4000 字 = 600 元/月 + 听读分成 5%（上限 1500）；日更 6000 字 = 800 元/月 + 分成 5%（上限 2000）</t>
        </is>
      </c>
    </row>
    <row r="22" ht="24" customHeight="1">
      <c r="A22" s="13" t="inlineStr">
        <is>
          <t>四、风险与合规提示</t>
        </is>
      </c>
    </row>
    <row r="23" ht="33" customHeight="1">
      <c r="A23" s="17" t="inlineStr">
        <is>
          <t>1. 内容合规：涉政、涉黄、医疗荐药、金融荐股、导流黑产等是封号高发区，2025 年各平台封禁账号数量均大幅上升。</t>
        </is>
      </c>
    </row>
    <row r="24" ht="33" customHeight="1">
      <c r="A24" s="17" t="inlineStr">
        <is>
          <t>2. AI 内容限制：知乎致知计划明确排除 AI 创作及 AI 辅助创作内容；多数平台对纯 AI 批量产出会降权或取消收益。</t>
        </is>
      </c>
    </row>
    <row r="25" ht="33" customHeight="1">
      <c r="A25" s="17" t="inlineStr">
        <is>
          <t>3. 首发与独家：头条「首发」、部分平台签约作品有 72 小时或更长的时间排他条款，多平台分发前先看协议。</t>
        </is>
      </c>
    </row>
    <row r="26" ht="33" customHeight="1">
      <c r="A26" s="17" t="inlineStr">
        <is>
          <t>4. 税务：稿酬所得按 20% 税率减征 30%，实际税负约 14%；平台代扣代缴，别忽略这部分成本。</t>
        </is>
      </c>
    </row>
    <row r="27" ht="33" customHeight="1">
      <c r="A27" s="17" t="inlineStr">
        <is>
          <t>5. 现金流：除头条、知乎、小红书等结算较快外，多数平台为月结且满 100 元才可提现，前期要有 2–3 个月无收入的准备。</t>
        </is>
      </c>
    </row>
    <row r="29" ht="24" customHeight="1">
      <c r="A29" s="13" t="inlineStr">
        <is>
          <t>五、主要数据来源</t>
        </is>
      </c>
    </row>
    <row r="30" ht="18.5" customHeight="1">
      <c r="A30" s="17" t="inlineStr">
        <is>
          <t>· 今日头条创作者帮助中心 · 创作权益说明（mp.toutiao.com）</t>
        </is>
      </c>
    </row>
    <row r="31" ht="18.5" customHeight="1">
      <c r="A31" s="17" t="inlineStr">
        <is>
          <t>· 《2026 年做图文还能赚钱吗？我把 5 个平台算明白了》（2026-09）</t>
        </is>
      </c>
    </row>
    <row r="32" ht="33" customHeight="1">
      <c r="A32" s="17" t="inlineStr">
        <is>
          <t>· 《2026 写网文还能赚钱吗？5 大平台真实收入曝光》（什么值得买，2026-08）</t>
        </is>
      </c>
    </row>
    <row r="33" ht="18.5" customHeight="1">
      <c r="A33" s="17" t="inlineStr">
        <is>
          <t>· 《公众号流量主真实收益大揭秘》（什么值得买，2026-06）</t>
        </is>
      </c>
    </row>
    <row r="34" ht="18.5" customHeight="1">
      <c r="A34" s="17" t="inlineStr">
        <is>
          <t>· 《微信公众号怎么接广告赚钱》（2026-03）</t>
        </is>
      </c>
    </row>
    <row r="35" ht="18.5" customHeight="1">
      <c r="A35" s="17" t="inlineStr">
        <is>
          <t>· 《2026 公众号赚钱全攻略：6 大变现渠道 + 官方计算公式》</t>
        </is>
      </c>
    </row>
    <row r="36" ht="18.5" customHeight="1">
      <c r="A36" s="17" t="inlineStr">
        <is>
          <t>· 《百家号图文发表文章收益规则》（2026-03）</t>
        </is>
      </c>
    </row>
    <row r="37" ht="18.5" customHeight="1">
      <c r="A37" s="17" t="inlineStr">
        <is>
          <t>· 《2026 今日头条最新玩法：零粉开收益》</t>
        </is>
      </c>
    </row>
    <row r="38" ht="18.5" customHeight="1">
      <c r="A38" s="17" t="inlineStr">
        <is>
          <t>· 《小红书博主收入水平（2026，市场行业参考）》</t>
        </is>
      </c>
    </row>
    <row r="39" ht="18.5" customHeight="1">
      <c r="A39" s="17" t="inlineStr">
        <is>
          <t>· 《CSDN 程序员副业图谱：从入门到变现的全链路实战指南》（2026-04）</t>
        </is>
      </c>
    </row>
    <row r="40" ht="18.5" customHeight="1">
      <c r="A40" s="17" t="inlineStr">
        <is>
          <t>· 知识星球官方文档及抽成比例公开讨论（doc.zsxq.com）</t>
        </is>
      </c>
    </row>
    <row r="41" ht="18.5" customHeight="1">
      <c r="A41" s="17" t="inlineStr">
        <is>
          <t>· Substack 官方费率说明（平台抽成 10% + Stripe 手续费）</t>
        </is>
      </c>
    </row>
    <row r="42" ht="18.5" customHeight="1">
      <c r="A42" s="17" t="inlineStr">
        <is>
          <t>· 《向媒体投稿，稿费有多少？各层级媒体投稿渠道费用全解析》</t>
        </is>
      </c>
    </row>
    <row r="44" ht="24" customHeight="1">
      <c r="A44" s="13" t="inlineStr">
        <is>
          <t>六、免责声明</t>
        </is>
      </c>
    </row>
    <row r="45" ht="33" customHeight="1">
      <c r="A45" s="17" t="inlineStr">
        <is>
          <t>本表为公开信息整理与估算，不构成收益承诺或投资建议。平台规则、单价、分成比例随时可能调整，决策前请以各平台官方最新公告与创作者后台数据为准。</t>
        </is>
      </c>
    </row>
  </sheetData>
  <mergeCells count="39">
    <mergeCell ref="A30:E30"/>
    <mergeCell ref="A39:E39"/>
    <mergeCell ref="A34:E34"/>
    <mergeCell ref="A24:E24"/>
    <mergeCell ref="A15:E15"/>
    <mergeCell ref="A11:E11"/>
    <mergeCell ref="A1:E1"/>
    <mergeCell ref="A45:E45"/>
    <mergeCell ref="A36:E36"/>
    <mergeCell ref="A5:C5"/>
    <mergeCell ref="A16:E16"/>
    <mergeCell ref="A25:E25"/>
    <mergeCell ref="A41:E41"/>
    <mergeCell ref="A37:E37"/>
    <mergeCell ref="A18:E18"/>
    <mergeCell ref="A27:E27"/>
    <mergeCell ref="A12:E12"/>
    <mergeCell ref="A26:E26"/>
    <mergeCell ref="A2:E2"/>
    <mergeCell ref="A42:E42"/>
    <mergeCell ref="A33:E33"/>
    <mergeCell ref="A23:E23"/>
    <mergeCell ref="A32:E32"/>
    <mergeCell ref="A22:E22"/>
    <mergeCell ref="A17:E17"/>
    <mergeCell ref="A29:E29"/>
    <mergeCell ref="A4:E4"/>
    <mergeCell ref="A35:E35"/>
    <mergeCell ref="A20:E20"/>
    <mergeCell ref="A38:E38"/>
    <mergeCell ref="A10:E10"/>
    <mergeCell ref="A6:C6"/>
    <mergeCell ref="A19:E19"/>
    <mergeCell ref="A13:E13"/>
    <mergeCell ref="A31:E31"/>
    <mergeCell ref="A44:E44"/>
    <mergeCell ref="A7:C7"/>
    <mergeCell ref="A40:E40"/>
    <mergeCell ref="A9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写作变现平台资费对比表</dc:title>
  <dcterms:created xsi:type="dcterms:W3CDTF">2026-10-26T01:47:46Z</dcterms:created>
  <dcterms:modified xsi:type="dcterms:W3CDTF">2026-10-26T01:47:46Z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{"Label":"1","ContentProducer":"00119111010856365494821B355","ProduceID":"9259ffb417954bef93b4b8b80072a814","ContentPropagator":"00119111010856365494821B355","PropagateID":"9259ffb417954bef93b4b8b80072a814"}</vt:lpwstr>
  </property>
</Properties>
</file>