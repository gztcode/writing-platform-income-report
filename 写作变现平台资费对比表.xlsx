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台总览" sheetId="1" state="visible" r:id="rId1"/>
    <sheet name="流量分成单价" sheetId="2" state="visible" r:id="rId2"/>
    <sheet name="稿酬与分成" sheetId="3" state="visible" r:id="rId3"/>
    <sheet name="本次修订记录" sheetId="4" state="visible" r:id="rId4"/>
    <sheet name="选择建议" sheetId="5" state="visible" r:id="rId5"/>
    <sheet name="说明与来源" sheetId="6" state="visible" r:id="rId6"/>
  </sheets>
  <definedNames>
    <definedName name="_xlnm._FilterDatabase" localSheetId="0" hidden="1">'平台总览'!$A$3:$M$30</definedName>
    <definedName name="_xlnm._FilterDatabase" localSheetId="2" hidden="1">'稿酬与分成'!$A$3:$G$18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FFFFFFFF"/>
      <sz val="15"/>
    </font>
    <font>
      <name val="微软雅黑"/>
      <i val="1"/>
      <color rgb="FF595959"/>
      <sz val="9"/>
    </font>
    <font>
      <name val="微软雅黑"/>
      <b val="1"/>
      <color rgb="FFFFFFFF"/>
      <sz val="10"/>
    </font>
    <font>
      <name val="微软雅黑"/>
      <sz val="9"/>
    </font>
    <font>
      <name val="微软雅黑"/>
      <b val="1"/>
      <sz val="9"/>
    </font>
    <font>
      <name val="微软雅黑"/>
      <b val="1"/>
      <color rgb="FF1F3864"/>
      <sz val="11"/>
    </font>
    <font>
      <name val="微软雅黑"/>
      <b val="1"/>
      <color rgb="FF2F5597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EDF2FA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4472C4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6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各平台流量分成单价上限（元/万次有效阅读或播放）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'流量分成单价'!C3</f>
            </strRef>
          </tx>
          <spPr>
            <a:ln>
              <a:prstDash val="solid"/>
            </a:ln>
          </spPr>
          <cat>
            <numRef>
              <f>'流量分成单价'!$A$4:$A$11</f>
            </numRef>
          </cat>
          <val>
            <numRef>
              <f>'流量分成单价'!$C$4:$C$11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 / 万次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1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M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22" customWidth="1" min="4" max="4"/>
    <col width="46" customWidth="1" min="5" max="5"/>
    <col width="25" customWidth="1" min="6" max="6"/>
    <col width="13" customWidth="1" min="7" max="7"/>
    <col width="14" customWidth="1" min="8" max="8"/>
    <col width="14" customWidth="1" min="9" max="9"/>
    <col width="10" customWidth="1" min="10" max="10"/>
    <col width="11" customWidth="1" min="11" max="11"/>
    <col width="22" customWidth="1" min="12" max="12"/>
    <col width="32" customWidth="1" min="13" max="13"/>
  </cols>
  <sheetData>
    <row r="1" ht="30" customHeight="1">
      <c r="A1" s="1" t="inlineStr">
        <is>
          <t xml:space="preserve">写作变现平台资费对比表 v3（2026-10-27 独立核查修订）</t>
        </is>
      </c>
    </row>
    <row r="2" ht="30" customHeight="1">
      <c r="A2" s="2" t="inlineStr">
        <is>
          <t xml:space="preserve">27 个平台 · 2026-10-27 修订 · 「数据可信度」= 高：有官方公告/文档 ｜ 中：多源一致 ｜ 低：单一来源或口径分歧大 ｜ v3 核查报告见「核查记录」目录</t>
        </is>
      </c>
    </row>
    <row r="3" ht="34" customHeight="1">
      <c r="A3" s="3" t="inlineStr">
        <is>
          <t>序号</t>
        </is>
      </c>
      <c r="B3" s="3" t="inlineStr">
        <is>
          <t>平台</t>
        </is>
      </c>
      <c r="C3" s="3" t="inlineStr">
        <is>
          <t>平台类型</t>
        </is>
      </c>
      <c r="D3" s="3" t="inlineStr">
        <is>
          <t>核心变现方式</t>
        </is>
      </c>
      <c r="E3" s="3" t="inlineStr">
        <is>
          <t>资费 / 分成标准（详细）</t>
        </is>
      </c>
      <c r="F3" s="3" t="inlineStr">
        <is>
          <t>开通 / 入驻门槛</t>
        </is>
      </c>
      <c r="G3" s="3" t="inlineStr">
        <is>
          <t>结算方式</t>
        </is>
      </c>
      <c r="H3" s="3" t="inlineStr">
        <is>
          <t>新手月收入下限（元）</t>
        </is>
      </c>
      <c r="I3" s="3" t="inlineStr">
        <is>
          <t>新手月收入上限（元）</t>
        </is>
      </c>
      <c r="J3" s="3" t="inlineStr">
        <is>
          <t>潜力等级</t>
        </is>
      </c>
      <c r="K3" s="3" t="inlineStr">
        <is>
          <t>数据可信度</t>
        </is>
      </c>
      <c r="L3" s="3" t="inlineStr">
        <is>
          <t>适合人群</t>
        </is>
      </c>
      <c r="M3" s="3" t="inlineStr">
        <is>
          <t>注意事项</t>
        </is>
      </c>
    </row>
    <row r="4" ht="93" customHeight="1">
      <c r="A4" s="4" t="n">
        <v>1</v>
      </c>
      <c r="B4" s="5" t="inlineStr">
        <is>
          <t>今日头条（头条号）</t>
        </is>
      </c>
      <c r="C4" s="6" t="inlineStr">
        <is>
          <t>自媒体图文</t>
        </is>
      </c>
      <c r="D4" s="6" t="inlineStr">
        <is>
          <t>广告分成 + 首发补贴 + 互动奖励</t>
        </is>
      </c>
      <c r="E4" s="6" t="inlineStr">
        <is>
          <t>图文万次阅读 3–15 元（主流口径）；另有「优质长文 30–80 元/万阅读」的说法，与前者差距悬殊，疑为优质原创+高互动的样本；收益 = 千次阅读单价 × 互动系数（最高 3 倍）× 获利阅读量 ÷ 1000</t>
        </is>
      </c>
      <c r="F4" s="6" t="inlineStr">
        <is>
          <t xml:space="preserve">0 粉丝可开通「文章创作收益」；微头条约 100 粉；问答约 1000 粉（v3 修正：原写 100 粉解锁问答，有误）</t>
        </is>
      </c>
      <c r="G4" s="6" t="inlineStr">
        <is>
          <t>次日更新，满 1 元提现</t>
        </is>
      </c>
      <c r="H4" s="7" t="n">
        <v>0</v>
      </c>
      <c r="I4" s="7" t="n">
        <v>3000</v>
      </c>
      <c r="J4" s="4" t="inlineStr">
        <is>
          <t>中</t>
        </is>
      </c>
      <c r="K4" s="4" t="inlineStr">
        <is>
          <t>低</t>
        </is>
      </c>
      <c r="L4" s="6" t="inlineStr">
        <is>
          <t>想快速见现金流的新手；热点、故事、资讯类</t>
        </is>
      </c>
      <c r="M4" s="6" t="inlineStr">
        <is>
          <t>青云计划已于 2020 年 9 月取消，别再按老攻略规划；勾选「首发」后 72 小时内不能发其他平台</t>
        </is>
      </c>
    </row>
    <row r="5" ht="64" customHeight="1">
      <c r="A5" s="4" t="n">
        <v>2</v>
      </c>
      <c r="B5" s="5" t="inlineStr">
        <is>
          <t>百家号</t>
        </is>
      </c>
      <c r="C5" s="6" t="inlineStr">
        <is>
          <t>自媒体图文</t>
        </is>
      </c>
      <c r="D5" s="6" t="inlineStr">
        <is>
          <t>广告分成 + 原创扶持 + 动态收益</t>
        </is>
      </c>
      <c r="E5" s="6" t="inlineStr">
        <is>
          <t>普通账号万次阅读 2–10 元；优质原创 10–20 元；未转正期间无广告收益</t>
        </is>
      </c>
      <c r="F5" s="6" t="inlineStr">
        <is>
          <t>需过新手期转正（注册满 7 天、指数≥500、完成实名）后才开广告分成</t>
        </is>
      </c>
      <c r="G5" s="6" t="inlineStr">
        <is>
          <t>月结，满 100 元提现</t>
        </is>
      </c>
      <c r="H5" s="7" t="n">
        <v>0</v>
      </c>
      <c r="I5" s="7" t="n">
        <v>2000</v>
      </c>
      <c r="J5" s="4" t="inlineStr">
        <is>
          <t>中</t>
        </is>
      </c>
      <c r="K5" s="4" t="inlineStr">
        <is>
          <t>中</t>
        </is>
      </c>
      <c r="L5" s="6" t="inlineStr">
        <is>
          <t>做百度搜索长尾流量；经验、知识、评测类</t>
        </is>
      </c>
      <c r="M5" s="6" t="inlineStr">
        <is>
          <t>转正有考核期；搬运、低质、重复内容收益极低甚至为 0</t>
        </is>
      </c>
    </row>
    <row r="6" ht="93" customHeight="1">
      <c r="A6" s="4" t="n">
        <v>3</v>
      </c>
      <c r="B6" s="5" t="inlineStr">
        <is>
          <t>微信公众号</t>
        </is>
      </c>
      <c r="C6" s="6" t="inlineStr">
        <is>
          <t>自媒体 / 私域</t>
        </is>
      </c>
      <c r="D6" s="6" t="inlineStr">
        <is>
          <t>流量主（程序化广告）+ 互选广告 + 返佣商品 + 赞赏 + 付费阅读</t>
        </is>
      </c>
      <c r="E6" s="6" t="inlineStr">
        <is>
          <t>程序化广告 eCPM 约 3–20 元/千次曝光（折合 30–200 元/万阅读，实测 1.9–170 元/千次都出现过）；互选广告按阅读单价结算，约 0.5–1.5 元/阅读；返佣佣金 5%–25%</t>
        </is>
      </c>
      <c r="F6" s="6" t="inlineStr">
        <is>
          <t xml:space="preserve">程序化广告：粉丝 ≥100（2026-03-24 官方公告，原为 500）；部分广告位门槛以当期公告为准（「部分广告位仍需 500 粉」一说未在公告原文中找到，v3 标注存疑）；互选广告另需原创作品</t>
        </is>
      </c>
      <c r="G6" s="6" t="inlineStr">
        <is>
          <t>月结（次月 15 日前后），满 100 元</t>
        </is>
      </c>
      <c r="H6" s="7" t="n">
        <v>0</v>
      </c>
      <c r="I6" s="7" t="n">
        <v>20000</v>
      </c>
      <c r="J6" s="4" t="inlineStr">
        <is>
          <t>高</t>
        </is>
      </c>
      <c r="K6" s="4" t="inlineStr">
        <is>
          <t>高</t>
        </is>
      </c>
      <c r="L6" s="6" t="inlineStr">
        <is>
          <t>想做个人 IP、沉淀读者、承接课程/咨询/社群</t>
        </is>
      </c>
      <c r="M6" s="6" t="inlineStr">
        <is>
          <t>打开率持续下滑，纯靠流量主很难；真正价值在私域和接广告</t>
        </is>
      </c>
    </row>
    <row r="7" ht="78.5" customHeight="1">
      <c r="A7" s="4" t="n">
        <v>4</v>
      </c>
      <c r="B7" s="5" t="inlineStr">
        <is>
          <t>知乎（致知计划）</t>
        </is>
      </c>
      <c r="C7" s="6" t="inlineStr">
        <is>
          <t>问答 / 知识社区</t>
        </is>
      </c>
      <c r="D7" s="6" t="inlineStr">
        <is>
          <t>致知计划流量分成 + 知+自选 + 付费咨询 + 品牌商单</t>
        </is>
      </c>
      <c r="E7" s="6" t="inlineStr">
        <is>
          <t>致知计划约 5–30 元/万次有效阅读（2023 年口径，之后未见官方调整公告）；商单 800–5000 元/千字；付费咨询 9.9–499 元/次；「盐粒」100 粒 = 1 元</t>
        </is>
      </c>
      <c r="F7" s="6" t="inlineStr">
        <is>
          <t>需开通致知计划权益；接商单需一定创作等级与领域权重</t>
        </is>
      </c>
      <c r="G7" s="6" t="inlineStr">
        <is>
          <t>月结，满 100 元</t>
        </is>
      </c>
      <c r="H7" s="7" t="n">
        <v>0</v>
      </c>
      <c r="I7" s="7" t="n">
        <v>2000</v>
      </c>
      <c r="J7" s="4" t="inlineStr">
        <is>
          <t>中</t>
        </is>
      </c>
      <c r="K7" s="4" t="inlineStr">
        <is>
          <t>低</t>
        </is>
      </c>
      <c r="L7" s="6" t="inlineStr">
        <is>
          <t>专业领域深度内容、研究型作者</t>
        </is>
      </c>
      <c r="M7" s="6" t="inlineStr">
        <is>
          <t xml:space="preserve">「致知计划明确排除 AI 创作及 AI 辅助创作」未能取得官方原文（v3 标「待核实」）；不适合批量铺稿</t>
        </is>
      </c>
    </row>
    <row r="8" ht="107.5" customHeight="1">
      <c r="A8" s="4" t="n">
        <v>5</v>
      </c>
      <c r="B8" s="5" t="inlineStr">
        <is>
          <t>小红书</t>
        </is>
      </c>
      <c r="C8" s="6" t="inlineStr">
        <is>
          <t>图文种草</t>
        </is>
      </c>
      <c r="D8" s="6" t="inlineStr">
        <is>
          <t>蒲公英商单 + 带货佣金 + 付费笔记（内测）</t>
        </is>
      </c>
      <c r="E8" s="6" t="inlineStr">
        <is>
          <t xml:space="preserve">无阅读分成；蒲公英 1000 粉开通，平台服务费 10%（含税费，报价 1000 元到手通常略低于 900 元）；1000–5000 粉图文 100–500 元/篇；5000–1 万粉 300–1000 元/篇；报价≈粉丝×0.1–0.3（图文）；带货佣金 10%–30%</t>
        </is>
      </c>
      <c r="F8" s="6" t="inlineStr">
        <is>
          <t>蒲公英 1000 粉丝；带货 0 粉可开</t>
        </is>
      </c>
      <c r="G8" s="6" t="inlineStr">
        <is>
          <t>平台担保，发布后 7–15 天</t>
        </is>
      </c>
      <c r="H8" s="7" t="n">
        <v>0</v>
      </c>
      <c r="I8" s="7" t="n">
        <v>1500</v>
      </c>
      <c r="J8" s="4" t="inlineStr">
        <is>
          <t>高</t>
        </is>
      </c>
      <c r="K8" s="4" t="inlineStr">
        <is>
          <t>高</t>
        </is>
      </c>
      <c r="L8" s="6" t="inlineStr">
        <is>
          <t>女性向、生活方式、母婴家居、美妆、AI 工具测评等垂类</t>
        </is>
      </c>
      <c r="M8" s="6" t="inlineStr">
        <is>
          <t>粉丝量≠收入，垂类和互动率决定报价；报备笔记占比超 30% 易被判营销号降权</t>
        </is>
      </c>
    </row>
    <row r="9" ht="78.5" customHeight="1">
      <c r="A9" s="4" t="n">
        <v>6</v>
      </c>
      <c r="B9" s="5" t="inlineStr">
        <is>
          <t>抖音（图文伙伴计划）</t>
        </is>
      </c>
      <c r="C9" s="6" t="inlineStr">
        <is>
          <t>短视频 / 图文</t>
        </is>
      </c>
      <c r="D9" s="6" t="inlineStr">
        <is>
          <t>伙伴计划流量分成 + 星图商单 + 带货</t>
        </is>
      </c>
      <c r="E9" s="6" t="inlineStr">
        <is>
          <t>图文万次有效播放 5–8 元（有效播放 = 观看 ≥5 秒）；播放量越大单价可能越低；星图商单另计</t>
        </is>
      </c>
      <c r="F9" s="6" t="inlineStr">
        <is>
          <t>实名认证 + 年满 18 周岁；粉丝/互动门槛以当期公告为准（有「互动粉丝≥5000」的说法，口径不一）</t>
        </is>
      </c>
      <c r="G9" s="6" t="inlineStr">
        <is>
          <t>每日结算</t>
        </is>
      </c>
      <c r="H9" s="7" t="n">
        <v>0</v>
      </c>
      <c r="I9" s="7" t="n">
        <v>3000</v>
      </c>
      <c r="J9" s="4" t="inlineStr">
        <is>
          <t>中</t>
        </is>
      </c>
      <c r="K9" s="4" t="inlineStr">
        <is>
          <t>低</t>
        </is>
      </c>
      <c r="L9" s="6" t="inlineStr">
        <is>
          <t>能做图文/短视频、懂平台流量玩法的人</t>
        </is>
      </c>
      <c r="M9" s="6" t="inlineStr">
        <is>
          <t>2026 年全面推进去 AI 化，纯 AI 批量生成的图文基本无收益且会被限流</t>
        </is>
      </c>
    </row>
    <row r="10" ht="49.5" customHeight="1">
      <c r="A10" s="4" t="n">
        <v>7</v>
      </c>
      <c r="B10" s="5" t="inlineStr">
        <is>
          <t>微信视频号</t>
        </is>
      </c>
      <c r="C10" s="6" t="inlineStr">
        <is>
          <t>短视频</t>
        </is>
      </c>
      <c r="D10" s="6" t="inlineStr">
        <is>
          <t>创作分成计划（评论区广告）+ 直播 + 带货</t>
        </is>
      </c>
      <c r="E10" s="6" t="inlineStr">
        <is>
          <t>原创视频评论区展示广告，按广告点击与播放量分成；无公开固定单价</t>
        </is>
      </c>
      <c r="F10" s="6" t="inlineStr">
        <is>
          <t>实名认证 + 有效关注 ≥100（微信广告官方文档）</t>
        </is>
      </c>
      <c r="G10" s="6" t="inlineStr">
        <is>
          <t>月结</t>
        </is>
      </c>
      <c r="H10" s="7" t="n">
        <v>0</v>
      </c>
      <c r="I10" s="7" t="n">
        <v>2000</v>
      </c>
      <c r="J10" s="4" t="inlineStr">
        <is>
          <t>中</t>
        </is>
      </c>
      <c r="K10" s="4" t="inlineStr">
        <is>
          <t>高</t>
        </is>
      </c>
      <c r="L10" s="6" t="inlineStr">
        <is>
          <t>已有私域或公众号读者、能做原创视频</t>
        </is>
      </c>
      <c r="M10" s="6" t="inlineStr">
        <is>
          <t>需原创且符合内容规范；与公众号可互相导流</t>
        </is>
      </c>
    </row>
    <row r="11" ht="78.5" customHeight="1">
      <c r="A11" s="4" t="n">
        <v>8</v>
      </c>
      <c r="B11" s="5" t="inlineStr">
        <is>
          <t>B 站（专栏）</t>
        </is>
      </c>
      <c r="C11" s="6" t="inlineStr">
        <is>
          <t>综合社区</t>
        </is>
      </c>
      <c r="D11" s="6" t="inlineStr">
        <is>
          <t>创作激励 + 花火商单 + 充电打赏</t>
        </is>
      </c>
      <c r="E11" s="6" t="inlineStr">
        <is>
          <t>创作激励按内容价值、播放、互动综合计算（用户反馈约 30 元/万次播放，波动极大）；专栏商单 2000–8000 元/篇，头部可过万；花火平台抽成约 50%；充电为粉丝打赏</t>
        </is>
      </c>
      <c r="F11" s="6" t="inlineStr">
        <is>
          <t>创作激励需开通（历史要求专栏/视频 10 万+播放）</t>
        </is>
      </c>
      <c r="G11" s="6" t="inlineStr">
        <is>
          <t>每月 2/12/22 日可结算</t>
        </is>
      </c>
      <c r="H11" s="7" t="n">
        <v>0</v>
      </c>
      <c r="I11" s="7" t="n">
        <v>3000</v>
      </c>
      <c r="J11" s="4" t="inlineStr">
        <is>
          <t>中</t>
        </is>
      </c>
      <c r="K11" s="4" t="inlineStr">
        <is>
          <t>低</t>
        </is>
      </c>
      <c r="L11" s="6" t="inlineStr">
        <is>
          <t>二次元、数码、知识区等内容创作者</t>
        </is>
      </c>
      <c r="M11" s="6" t="inlineStr">
        <is>
          <t>专栏本身流量弱，收入主要靠商单和充电，纯写专栏很难赚</t>
        </is>
      </c>
    </row>
    <row r="12" ht="35" customHeight="1">
      <c r="A12" s="4" t="n">
        <v>9</v>
      </c>
      <c r="B12" s="5" t="inlineStr">
        <is>
          <t>网易号</t>
        </is>
      </c>
      <c r="C12" s="6" t="inlineStr">
        <is>
          <t>自媒体图文</t>
        </is>
      </c>
      <c r="D12" s="6" t="inlineStr">
        <is>
          <t>广告分成 + 平台奖金</t>
        </is>
      </c>
      <c r="E12" s="6" t="inlineStr">
        <is>
          <t>万次阅读约 3–8 元，原创略有加成</t>
        </is>
      </c>
      <c r="F12" s="6" t="inlineStr">
        <is>
          <t>需过新手期并开通收益权限</t>
        </is>
      </c>
      <c r="G12" s="6" t="inlineStr">
        <is>
          <t>月结</t>
        </is>
      </c>
      <c r="H12" s="7" t="n">
        <v>0</v>
      </c>
      <c r="I12" s="7" t="n">
        <v>500</v>
      </c>
      <c r="J12" s="4" t="inlineStr">
        <is>
          <t>低</t>
        </is>
      </c>
      <c r="K12" s="4" t="inlineStr">
        <is>
          <t>低</t>
        </is>
      </c>
      <c r="L12" s="6" t="inlineStr">
        <is>
          <t>补充分发；新闻评论、社会话题</t>
        </is>
      </c>
      <c r="M12" s="6" t="inlineStr">
        <is>
          <t>单价偏低，流量集中在新闻和评论，长尾弱</t>
        </is>
      </c>
    </row>
    <row r="13" ht="35" customHeight="1">
      <c r="A13" s="4" t="n">
        <v>10</v>
      </c>
      <c r="B13" s="5" t="inlineStr">
        <is>
          <t>搜狐号</t>
        </is>
      </c>
      <c r="C13" s="6" t="inlineStr">
        <is>
          <t>自媒体图文</t>
        </is>
      </c>
      <c r="D13" s="6" t="inlineStr">
        <is>
          <t>广告分成</t>
        </is>
      </c>
      <c r="E13" s="6" t="inlineStr">
        <is>
          <t>万次阅读约 2–6 元</t>
        </is>
      </c>
      <c r="F13" s="6" t="inlineStr">
        <is>
          <t>注册即可发文，收益需单独开通</t>
        </is>
      </c>
      <c r="G13" s="6" t="inlineStr">
        <is>
          <t>月结</t>
        </is>
      </c>
      <c r="H13" s="7" t="n">
        <v>0</v>
      </c>
      <c r="I13" s="7" t="n">
        <v>300</v>
      </c>
      <c r="J13" s="4" t="inlineStr">
        <is>
          <t>低</t>
        </is>
      </c>
      <c r="K13" s="4" t="inlineStr">
        <is>
          <t>低</t>
        </is>
      </c>
      <c r="L13" s="6" t="inlineStr">
        <is>
          <t>做搜索收录和品牌曝光</t>
        </is>
      </c>
      <c r="M13" s="6" t="inlineStr">
        <is>
          <t>单价最低，但百度收录好，适合当「内容仓库」而非赚钱渠道</t>
        </is>
      </c>
    </row>
    <row r="14" ht="49.5" customHeight="1">
      <c r="A14" s="4" t="n">
        <v>11</v>
      </c>
      <c r="B14" s="5" t="inlineStr">
        <is>
          <t>企鹅号</t>
        </is>
      </c>
      <c r="C14" s="6" t="inlineStr">
        <is>
          <t>自媒体图文</t>
        </is>
      </c>
      <c r="D14" s="6" t="inlineStr">
        <is>
          <t>广告分成</t>
        </is>
      </c>
      <c r="E14" s="6" t="inlineStr">
        <is>
          <t>万次阅读约 5–10 元（旧口径）；2023 年后非认证、低活跃账号常出现零分成</t>
        </is>
      </c>
      <c r="F14" s="6" t="inlineStr">
        <is>
          <t>需开通收益；已并入腾讯内容开放平台</t>
        </is>
      </c>
      <c r="G14" s="6" t="inlineStr">
        <is>
          <t>T+7，满 100 元</t>
        </is>
      </c>
      <c r="H14" s="7" t="n">
        <v>0</v>
      </c>
      <c r="I14" s="7" t="n">
        <v>300</v>
      </c>
      <c r="J14" s="4" t="inlineStr">
        <is>
          <t>低</t>
        </is>
      </c>
      <c r="K14" s="4" t="inlineStr">
        <is>
          <t>低</t>
        </is>
      </c>
      <c r="L14" s="6" t="inlineStr">
        <is>
          <t>补充分发</t>
        </is>
      </c>
      <c r="M14" s="6" t="inlineStr">
        <is>
          <t>未官宣关停，但流量红利已结束，图文点击大幅下滑，不建议投入精力</t>
        </is>
      </c>
    </row>
    <row r="15" ht="49.5" customHeight="1">
      <c r="A15" s="4" t="n">
        <v>12</v>
      </c>
      <c r="B15" s="5" t="inlineStr">
        <is>
          <t>大鱼号</t>
        </is>
      </c>
      <c r="C15" s="6" t="inlineStr">
        <is>
          <t>自媒体图文</t>
        </is>
      </c>
      <c r="D15" s="6" t="inlineStr">
        <is>
          <t>流量分成 + 奖金</t>
        </is>
      </c>
      <c r="E15" s="6" t="inlineStr">
        <is>
          <t>名义万次阅读 15–20 元（旧口径，已无实际参考价值）</t>
        </is>
      </c>
      <c r="F15" s="6" t="inlineStr">
        <is>
          <t>试运营转正 + 三星 + 原创</t>
        </is>
      </c>
      <c r="G15" s="6" t="inlineStr">
        <is>
          <t>月结</t>
        </is>
      </c>
      <c r="H15" s="7" t="n">
        <v>0</v>
      </c>
      <c r="I15" s="7" t="n">
        <v>100</v>
      </c>
      <c r="J15" s="4" t="inlineStr">
        <is>
          <t>低</t>
        </is>
      </c>
      <c r="K15" s="4" t="inlineStr">
        <is>
          <t>低</t>
        </is>
      </c>
      <c r="L15" s="6" t="inlineStr">
        <is>
          <t>不建议再投入</t>
        </is>
      </c>
      <c r="M15" s="6" t="inlineStr">
        <is>
          <t>2025 年起已基本停摆、无实质运营，平台投入撤出，收益近乎为零</t>
        </is>
      </c>
    </row>
    <row r="16" ht="136.5" customHeight="1">
      <c r="A16" s="4" t="n">
        <v>13</v>
      </c>
      <c r="B16" s="5" t="inlineStr">
        <is>
          <t>番茄小说</t>
        </is>
      </c>
      <c r="C16" s="6" t="inlineStr">
        <is>
          <t>免费网文</t>
        </is>
      </c>
      <c r="D16" s="6" t="inlineStr">
        <is>
          <t>广告分成 + 全勤 + 短剧版权 + 打赏</t>
        </is>
      </c>
      <c r="E16" s="6" t="inlineStr">
        <is>
          <t xml:space="preserve">广告收益作者 55%；全勤 2026-10-01 起新规：第 1 个月满 15 万字且听读≥500 元→600 元；第 2 个月进阶档 800 元（公开解读，官方原文未取到）；第 3 个月起月更 20 万字且听读≥1500 元→1500 元（旧规日更 4000/6000 字→600/800 元+分成 5%）；打赏作者得 70%；短剧原著奖励最高 300 万</t>
        </is>
      </c>
      <c r="F16" s="6" t="inlineStr">
        <is>
          <t>约 2 万字可申请签约；全勤仅限独家签约作品</t>
        </is>
      </c>
      <c r="G16" s="6" t="inlineStr">
        <is>
          <t>月结</t>
        </is>
      </c>
      <c r="H16" s="7" t="n">
        <v>0</v>
      </c>
      <c r="I16" s="7" t="n">
        <v>2500</v>
      </c>
      <c r="J16" s="4" t="inlineStr">
        <is>
          <t>高</t>
        </is>
      </c>
      <c r="K16" s="4" t="inlineStr">
        <is>
          <t>高</t>
        </is>
      </c>
      <c r="L16" s="6" t="inlineStr">
        <is>
          <t>第一次写网文、爽文/短故事、想低成本试错</t>
        </is>
      </c>
      <c r="M16" s="6" t="inlineStr">
        <is>
          <t xml:space="preserve">新规把全勤门槛明显抬高，中下层作者更难拿；2024 年 60 万签约作者中月入超 2500 元的约 9374 人（1.56%），2026 年签约作者约 70 万，最新分层未见官方更新</t>
        </is>
      </c>
    </row>
    <row r="17" ht="78.5" customHeight="1">
      <c r="A17" s="4" t="n">
        <v>14</v>
      </c>
      <c r="B17" s="5" t="inlineStr">
        <is>
          <t>起点中文网</t>
        </is>
      </c>
      <c r="C17" s="6" t="inlineStr">
        <is>
          <t>付费网文</t>
        </is>
      </c>
      <c r="D17" s="6" t="inlineStr">
        <is>
          <t>订阅分成 + 全勤 + 打赏 + IP 版权</t>
        </is>
      </c>
      <c r="E17" s="6" t="inlineStr">
        <is>
          <t xml:space="preserve">订阅分成约 50%–70%（视合约）；全勤：上架后前 3 个月日更 VIP ≥4000 字、不断更，每月 1500 元（共 4500 元）；第 4 个月起当月章均追订 ≥100 或渠道+免费收入 ≥2000 元，才有 1000 元/月（2025-05-01 起新规，v3 更新）</t>
        </is>
      </c>
      <c r="F17" s="6" t="inlineStr">
        <is>
          <t>编辑审核签约，新人万字投稿拒稿率高；上架前累计断更不得超 4 天</t>
        </is>
      </c>
      <c r="G17" s="6" t="inlineStr">
        <is>
          <t>月结</t>
        </is>
      </c>
      <c r="H17" s="7" t="n">
        <v>0</v>
      </c>
      <c r="I17" s="7" t="n">
        <v>5000</v>
      </c>
      <c r="J17" s="4" t="inlineStr">
        <is>
          <t>极高</t>
        </is>
      </c>
      <c r="K17" s="4" t="inlineStr">
        <is>
          <t>高</t>
        </is>
      </c>
      <c r="L17" s="6" t="inlineStr">
        <is>
          <t>有写作基础、追求长线 IP 与高天花板的作者</t>
        </is>
      </c>
      <c r="M17" s="6" t="inlineStr">
        <is>
          <t>前期长时间零收入，需熬过免费期；LV4 作者年收入普遍 5 万–15 万</t>
        </is>
      </c>
    </row>
    <row r="18" ht="49.5" customHeight="1">
      <c r="A18" s="4" t="n">
        <v>15</v>
      </c>
      <c r="B18" s="5" t="inlineStr">
        <is>
          <t>晋江文学城</t>
        </is>
      </c>
      <c r="C18" s="6" t="inlineStr">
        <is>
          <t>付费网文（女频）</t>
        </is>
      </c>
      <c r="D18" s="6" t="inlineStr">
        <is>
          <t>订阅分成 + 版权代理（影视/出版）</t>
        </is>
      </c>
      <c r="E18" s="6" t="inlineStr">
        <is>
          <t>VIP 订阅分成；著作权归作者本人，平台仅代理权；影视改编通常作者与平台五五分成</t>
        </is>
      </c>
      <c r="F18" s="6" t="inlineStr">
        <is>
          <t>注册作者 → 发文 → 申请签约，审核较严</t>
        </is>
      </c>
      <c r="G18" s="6" t="inlineStr">
        <is>
          <t>月结</t>
        </is>
      </c>
      <c r="H18" s="7" t="n">
        <v>0</v>
      </c>
      <c r="I18" s="7" t="n">
        <v>3000</v>
      </c>
      <c r="J18" s="4" t="inlineStr">
        <is>
          <t>极高</t>
        </is>
      </c>
      <c r="K18" s="4" t="inlineStr">
        <is>
          <t>中</t>
        </is>
      </c>
      <c r="L18" s="6" t="inlineStr">
        <is>
          <t>言情、耽美等女性向长篇作者</t>
        </is>
      </c>
      <c r="M18" s="6" t="inlineStr">
        <is>
          <t>竞争激烈、出头需运气，但版权归属对作者最友好，女频收入上限高于番茄/起点</t>
        </is>
      </c>
    </row>
    <row r="19" ht="49.5" customHeight="1">
      <c r="A19" s="4" t="n">
        <v>16</v>
      </c>
      <c r="B19" s="5" t="inlineStr">
        <is>
          <t>七猫小说</t>
        </is>
      </c>
      <c r="C19" s="6" t="inlineStr">
        <is>
          <t>免费网文（保底）</t>
        </is>
      </c>
      <c r="D19" s="6" t="inlineStr">
        <is>
          <t>保底稿费 + 广告分成</t>
        </is>
      </c>
      <c r="E19" s="6" t="inlineStr">
        <is>
          <t>保底千字 20 元起，可谈至 50–200 元/千字；新人可通过训练营申请签约，编辑一对一指导</t>
        </is>
      </c>
      <c r="F19" s="6" t="inlineStr">
        <is>
          <t>训练营 / 投稿审核签约</t>
        </is>
      </c>
      <c r="G19" s="6" t="inlineStr">
        <is>
          <t>月结</t>
        </is>
      </c>
      <c r="H19" s="7" t="n">
        <v>2000</v>
      </c>
      <c r="I19" s="7" t="n">
        <v>8000</v>
      </c>
      <c r="J19" s="4" t="inlineStr">
        <is>
          <t>中</t>
        </is>
      </c>
      <c r="K19" s="4" t="inlineStr">
        <is>
          <t>中</t>
        </is>
      </c>
      <c r="L19" s="6" t="inlineStr">
        <is>
          <t>想要稳定收入、能稳定日更的新人</t>
        </is>
      </c>
      <c r="M19" s="6" t="inlineStr">
        <is>
          <t>有保底最安心，但天花板不如番茄/起点；题材偏逻辑严密、成长感强的爽文</t>
        </is>
      </c>
    </row>
    <row r="20" ht="78.5" customHeight="1">
      <c r="A20" s="4" t="n">
        <v>17</v>
      </c>
      <c r="B20" s="5" t="inlineStr">
        <is>
          <t>豆瓣阅读</t>
        </is>
      </c>
      <c r="C20" s="6" t="inlineStr">
        <is>
          <t>付费阅读（文艺向）</t>
        </is>
      </c>
      <c r="D20" s="6" t="inlineStr">
        <is>
          <t>销售分成 + 全勤 + 高更奖励 + 版权</t>
        </is>
      </c>
      <c r="E20" s="6" t="inlineStr">
        <is>
          <t>签约作品线上销售作者 70% 分成（定价 8 元每本约得 5.6 元）；免费期全勤千字 5 元（月更约 8.4 万字）；保底千字 15 元起；另有高更奖励约 420 元/月</t>
        </is>
      </c>
      <c r="F20" s="6" t="inlineStr">
        <is>
          <t>申请签约</t>
        </is>
      </c>
      <c r="G20" s="6" t="inlineStr">
        <is>
          <t>月结</t>
        </is>
      </c>
      <c r="H20" s="7" t="n">
        <v>0</v>
      </c>
      <c r="I20" s="7" t="n">
        <v>3000</v>
      </c>
      <c r="J20" s="4" t="inlineStr">
        <is>
          <t>中</t>
        </is>
      </c>
      <c r="K20" s="4" t="inlineStr">
        <is>
          <t>中</t>
        </is>
      </c>
      <c r="L20" s="6" t="inlineStr">
        <is>
          <t>文艺、现实、女性向题材；不追爽文的作者</t>
        </is>
      </c>
      <c r="M20" s="6" t="inlineStr">
        <is>
          <t>用户基数小但读者付费意愿高；全勤字数门槛不低</t>
        </is>
      </c>
    </row>
    <row r="21" ht="107.5" customHeight="1">
      <c r="A21" s="4" t="n">
        <v>18</v>
      </c>
      <c r="B21" s="5" t="inlineStr">
        <is>
          <t>知乎盐言故事</t>
        </is>
      </c>
      <c r="C21" s="6" t="inlineStr">
        <is>
          <t>短篇付费</t>
        </is>
      </c>
      <c r="D21" s="6" t="inlineStr">
        <is>
          <t>会员分成 + 优质稿预付金 + 平台激励 + 版权</t>
        </is>
      </c>
      <c r="E21" s="6" t="inlineStr">
        <is>
          <t xml:space="preserve">会员分成作者 50%（有效阅读 = 会员读满 30 秒以上）等细则未能取得官方原文，v3 标「待核实」；优质稿预付金 50–300 元/千字，头部单篇最高 3000 元；长篇 15 万字以上预付 5000–20000 元；长篇全勤 1500 元/月（日更≥2000 字，最多 3 个月）；短篇爆款榜 2000–10000 元</t>
        </is>
      </c>
      <c r="F21" s="6" t="inlineStr">
        <is>
          <t>短篇 8000 字以上可投；长篇投稿 3 万字试读</t>
        </is>
      </c>
      <c r="G21" s="6" t="inlineStr">
        <is>
          <t>月初出账 + 30 天打款，约 45–60 天；统一扣 5% 个税</t>
        </is>
      </c>
      <c r="H21" s="7" t="n">
        <v>0</v>
      </c>
      <c r="I21" s="7" t="n">
        <v>5000</v>
      </c>
      <c r="J21" s="4" t="inlineStr">
        <is>
          <t>高</t>
        </is>
      </c>
      <c r="K21" s="4" t="inlineStr">
        <is>
          <t xml:space="preserve">低</t>
        </is>
      </c>
      <c r="L21" s="6" t="inlineStr">
        <is>
          <t>短篇/故事作者，擅长强冲突、快节奏</t>
        </is>
      </c>
      <c r="M21" s="6" t="inlineStr">
        <is>
          <t>官方没有「保底承诺」，谨防付费内推骗局；刷量、抄书、AI 拼稿会清零收益</t>
        </is>
      </c>
    </row>
    <row r="22" ht="49.5" customHeight="1">
      <c r="A22" s="4" t="n">
        <v>19</v>
      </c>
      <c r="B22" s="5" t="inlineStr">
        <is>
          <t>知识星球</t>
        </is>
      </c>
      <c r="C22" s="6" t="inlineStr">
        <is>
          <t>知识付费社群</t>
        </is>
      </c>
      <c r="D22" s="6" t="inlineStr">
        <is>
          <t>付费社群会员费</t>
        </is>
      </c>
      <c r="E22" s="6" t="inlineStr">
        <is>
          <t>个人星球手续费 10%–20%（不含应缴税费）；企业星球 5%–10% 阶梯 + 微信支付 1%</t>
        </is>
      </c>
      <c r="F22" s="6" t="inlineStr">
        <is>
          <t>无粉丝门槛，但需自带流量和信任基础</t>
        </is>
      </c>
      <c r="G22" s="6" t="inlineStr">
        <is>
          <t>结算期 72 小时后可提现</t>
        </is>
      </c>
      <c r="H22" s="7" t="n">
        <v>0</v>
      </c>
      <c r="I22" s="7" t="n">
        <v>30000</v>
      </c>
      <c r="J22" s="4" t="inlineStr">
        <is>
          <t>高</t>
        </is>
      </c>
      <c r="K22" s="4" t="inlineStr">
        <is>
          <t>高</t>
        </is>
      </c>
      <c r="L22" s="6" t="inlineStr">
        <is>
          <t>有私域、有专业积累、能做持续交付的人</t>
        </is>
      </c>
      <c r="M22" s="6" t="inlineStr">
        <is>
          <t>20% 是上限不是固定值，可谈；定价要把手续费算进去；冷启动靠公众号/知乎导流</t>
        </is>
      </c>
    </row>
    <row r="23" ht="49.5" customHeight="1">
      <c r="A23" s="4" t="n">
        <v>20</v>
      </c>
      <c r="B23" s="5" t="inlineStr">
        <is>
          <t>小报童</t>
        </is>
      </c>
      <c r="C23" s="6" t="inlineStr">
        <is>
          <t>付费专栏</t>
        </is>
      </c>
      <c r="D23" s="6" t="inlineStr">
        <is>
          <t>付费专栏（买断制 / 订阅制）</t>
        </is>
      </c>
      <c r="E23" s="6" t="inlineStr">
        <is>
          <t>平台抽成 10%；可选「推荐金」比例最高 60%（推荐人分成）；买断制定价常见 9.9–99 元</t>
        </is>
      </c>
      <c r="F23" s="6" t="inlineStr">
        <is>
          <t>邀请码 / 申请开通</t>
        </is>
      </c>
      <c r="G23" s="6" t="inlineStr">
        <is>
          <t>微信支付，实时到账</t>
        </is>
      </c>
      <c r="H23" s="7" t="n">
        <v>0</v>
      </c>
      <c r="I23" s="7" t="n">
        <v>5000</v>
      </c>
      <c r="J23" s="4" t="inlineStr">
        <is>
          <t>中</t>
        </is>
      </c>
      <c r="K23" s="4" t="inlineStr">
        <is>
          <t>中</t>
        </is>
      </c>
      <c r="L23" s="6" t="inlineStr">
        <is>
          <t>轻量付费专栏、newsletter、单主题小册</t>
        </is>
      </c>
      <c r="M23" s="6" t="inlineStr">
        <is>
          <t>站内流量很少，主要靠公众号/知乎引流；推荐金开高了基本不赚钱</t>
        </is>
      </c>
    </row>
    <row r="24" ht="49.5" customHeight="1">
      <c r="A24" s="4" t="n">
        <v>21</v>
      </c>
      <c r="B24" s="5" t="inlineStr">
        <is>
          <t>爱发电</t>
        </is>
      </c>
      <c r="C24" s="6" t="inlineStr">
        <is>
          <t>粉丝赞助</t>
        </is>
      </c>
      <c r="D24" s="6" t="inlineStr">
        <is>
          <t>按月赞助 + 单次打赏</t>
        </is>
      </c>
      <c r="E24" s="6" t="inlineStr">
        <is>
          <t>平台服务费 5%–10%，按月结算</t>
        </is>
      </c>
      <c r="F24" s="6" t="inlineStr">
        <is>
          <t>无门槛</t>
        </is>
      </c>
      <c r="G24" s="6" t="inlineStr">
        <is>
          <t>月结</t>
        </is>
      </c>
      <c r="H24" s="7" t="n">
        <v>0</v>
      </c>
      <c r="I24" s="7" t="n">
        <v>5000</v>
      </c>
      <c r="J24" s="4" t="inlineStr">
        <is>
          <t>中</t>
        </is>
      </c>
      <c r="K24" s="4" t="inlineStr">
        <is>
          <t>中</t>
        </is>
      </c>
      <c r="L24" s="6" t="inlineStr">
        <is>
          <t>已有粉丝基础的创作者（音乐、小说、插画等）</t>
        </is>
      </c>
      <c r="M24" s="6" t="inlineStr">
        <is>
          <t>纯新人几乎起不来，是「有粉丝之后的变现工具」而不是获客渠道</t>
        </is>
      </c>
    </row>
    <row r="25" ht="49.5" customHeight="1">
      <c r="A25" s="4" t="n">
        <v>22</v>
      </c>
      <c r="B25" s="5" t="inlineStr">
        <is>
          <t>什么值得买</t>
        </is>
      </c>
      <c r="C25" s="6" t="inlineStr">
        <is>
          <t>消费种草</t>
        </is>
      </c>
      <c r="D25" s="6" t="inlineStr">
        <is>
          <t>创作激励 + 众测 + 商品佣金</t>
        </is>
      </c>
      <c r="E25" s="6" t="inlineStr">
        <is>
          <t>创作激励按阅读时长、互动、内容质量综合计算，发布后 180 天内持续产生收益，每周三结算上周；无固定单价</t>
        </is>
      </c>
      <c r="F25" s="6" t="inlineStr">
        <is>
          <t>注册创作者，需过原创/等级要求</t>
        </is>
      </c>
      <c r="G25" s="6" t="inlineStr">
        <is>
          <t>周结</t>
        </is>
      </c>
      <c r="H25" s="7" t="n">
        <v>0</v>
      </c>
      <c r="I25" s="7" t="n">
        <v>3000</v>
      </c>
      <c r="J25" s="4" t="inlineStr">
        <is>
          <t>中</t>
        </is>
      </c>
      <c r="K25" s="4" t="inlineStr">
        <is>
          <t>中</t>
        </is>
      </c>
      <c r="L25" s="6" t="inlineStr">
        <is>
          <t>消费决策类内容（数码、家电、母婴、出行）</t>
        </is>
      </c>
      <c r="M25" s="6" t="inlineStr">
        <is>
          <t>非消费领域很难起量；众测是拿实物+稿酬的主要入口</t>
        </is>
      </c>
    </row>
    <row r="26" ht="49.5" customHeight="1">
      <c r="A26" s="4" t="n">
        <v>23</v>
      </c>
      <c r="B26" s="5" t="inlineStr">
        <is>
          <t>CSDN</t>
        </is>
      </c>
      <c r="C26" s="6" t="inlineStr">
        <is>
          <t>技术社区</t>
        </is>
      </c>
      <c r="D26" s="6" t="inlineStr">
        <is>
          <t>付费专栏 + VIP 文章分润 + 打赏 + 征文奖金</t>
        </is>
      </c>
      <c r="E26" s="6" t="inlineStr">
        <is>
          <t>付费专栏作者分成 90%（平台抽 10%）；VIP 文章按会员阅读分润；征文活动 50–500 元/篇</t>
        </is>
      </c>
      <c r="F26" s="6" t="inlineStr">
        <is>
          <t>需达到创作等级并开通原创 / 付费权限</t>
        </is>
      </c>
      <c r="G26" s="6" t="inlineStr">
        <is>
          <t>月结</t>
        </is>
      </c>
      <c r="H26" s="7" t="n">
        <v>0</v>
      </c>
      <c r="I26" s="7" t="n">
        <v>3000</v>
      </c>
      <c r="J26" s="4" t="inlineStr">
        <is>
          <t>中</t>
        </is>
      </c>
      <c r="K26" s="4" t="inlineStr">
        <is>
          <t>中</t>
        </is>
      </c>
      <c r="L26" s="6" t="inlineStr">
        <is>
          <t>程序员、技术博主、有体系化知识的人</t>
        </is>
      </c>
      <c r="M26" s="6" t="inlineStr">
        <is>
          <t>广告多、社区口碑两极；付费专栏是真正的主力收入</t>
        </is>
      </c>
    </row>
    <row r="27" ht="49.5" customHeight="1">
      <c r="A27" s="4" t="n">
        <v>24</v>
      </c>
      <c r="B27" s="5" t="inlineStr">
        <is>
          <t>掘金</t>
        </is>
      </c>
      <c r="C27" s="6" t="inlineStr">
        <is>
          <t>技术社区</t>
        </is>
      </c>
      <c r="D27" s="6" t="inlineStr">
        <is>
          <t>创作者激励（矿石/贝壳）+ 专栏 + 活动奖金</t>
        </is>
      </c>
      <c r="E27" s="6" t="inlineStr">
        <is>
          <t>无稳定阅读分成，主要靠征文/活动奖金与专栏；折算现金较低</t>
        </is>
      </c>
      <c r="F27" s="6" t="inlineStr">
        <is>
          <t>注册即可发文</t>
        </is>
      </c>
      <c r="G27" s="6" t="inlineStr">
        <is>
          <t>活动结束后结算</t>
        </is>
      </c>
      <c r="H27" s="7" t="n">
        <v>0</v>
      </c>
      <c r="I27" s="7" t="n">
        <v>1000</v>
      </c>
      <c r="J27" s="4" t="inlineStr">
        <is>
          <t>低</t>
        </is>
      </c>
      <c r="K27" s="4" t="inlineStr">
        <is>
          <t>中</t>
        </is>
      </c>
      <c r="L27" s="6" t="inlineStr">
        <is>
          <t>建立技术影响力、为接私活/求职引流</t>
        </is>
      </c>
      <c r="M27" s="6" t="inlineStr">
        <is>
          <t>直接变现能力弱，价值在个人品牌和流量外溢</t>
        </is>
      </c>
    </row>
    <row r="28" ht="93" customHeight="1">
      <c r="A28" s="4" t="n">
        <v>25</v>
      </c>
      <c r="B28" s="5" t="inlineStr">
        <is>
          <t>媒体 / 公众号征稿</t>
        </is>
      </c>
      <c r="C28" s="6" t="inlineStr">
        <is>
          <t>投稿约稿</t>
        </is>
      </c>
      <c r="D28" s="6" t="inlineStr">
        <is>
          <t>一次性稿酬（部分含流量奖励）</t>
        </is>
      </c>
      <c r="E28" s="6" t="inlineStr">
        <is>
          <t>头部账号 3000 字深度稿 2000–5000 元/篇；普通号 300–1500 元/篇；地方媒体副刊约 300 元/千字；行业媒体评论/专栏 200–1000 元/千字；新闻稿/专题 300–800 元/千字</t>
        </is>
      </c>
      <c r="F28" s="6" t="inlineStr">
        <is>
          <t>投稿审核；需匹配选题方向与调性</t>
        </is>
      </c>
      <c r="G28" s="6" t="inlineStr">
        <is>
          <t>见刊后月结（常见次月 20 日统计、月底前支付）</t>
        </is>
      </c>
      <c r="H28" s="7" t="n">
        <v>0</v>
      </c>
      <c r="I28" s="7" t="n">
        <v>5000</v>
      </c>
      <c r="J28" s="4" t="inlineStr">
        <is>
          <t>中</t>
        </is>
      </c>
      <c r="K28" s="4" t="inlineStr">
        <is>
          <t>中</t>
        </is>
      </c>
      <c r="L28" s="6" t="inlineStr">
        <is>
          <t>有写作功底、擅长深度内容、不想运营账号的人</t>
        </is>
      </c>
      <c r="M28" s="6" t="inlineStr">
        <is>
          <t>稿酬个税按 20% 税率减征 30%，实际约 14%；不少刊物明确「拒绝 AI 代笔」；一稿多投先确认是否允许</t>
        </is>
      </c>
    </row>
    <row r="29" ht="49.5" customHeight="1">
      <c r="A29" s="4" t="n">
        <v>26</v>
      </c>
      <c r="B29" s="5" t="inlineStr">
        <is>
          <t>Medium（海外）</t>
        </is>
      </c>
      <c r="C29" s="6" t="inlineStr">
        <is>
          <t>海外图文</t>
        </is>
      </c>
      <c r="D29" s="6" t="inlineStr">
        <is>
          <t>Partner Program 会员阅读时长分成 + 打赏</t>
        </is>
      </c>
      <c r="E29" s="6" t="inlineStr">
        <is>
          <t>按会员阅读时长计费，无固定单价；常被折算为 0.01–0.05 美元/阅读，中文内容显著偏低</t>
        </is>
      </c>
      <c r="F29" s="6" t="inlineStr">
        <is>
          <t>加入 Partner Program，绑定 Stripe 收款</t>
        </is>
      </c>
      <c r="G29" s="6" t="inlineStr">
        <is>
          <t>月结（Stripe 打款）</t>
        </is>
      </c>
      <c r="H29" s="7" t="n">
        <v>0</v>
      </c>
      <c r="I29" s="7" t="n">
        <v>300</v>
      </c>
      <c r="J29" s="4" t="inlineStr">
        <is>
          <t>低</t>
        </is>
      </c>
      <c r="K29" s="4" t="inlineStr">
        <is>
          <t>低</t>
        </is>
      </c>
      <c r="L29" s="6" t="inlineStr">
        <is>
          <t>英文写作、技术/设计/职场话题</t>
        </is>
      </c>
      <c r="M29" s="6" t="inlineStr">
        <is>
          <t>中文流量少，想做起来必须英文输出；国内收款需处理 Stripe 账户</t>
        </is>
      </c>
    </row>
    <row r="30" ht="49.5" customHeight="1">
      <c r="A30" s="4" t="n">
        <v>27</v>
      </c>
      <c r="B30" s="5" t="inlineStr">
        <is>
          <t>Substack（海外）</t>
        </is>
      </c>
      <c r="C30" s="6" t="inlineStr">
        <is>
          <t>付费 newsletter</t>
        </is>
      </c>
      <c r="D30" s="6" t="inlineStr">
        <is>
          <t>付费订阅</t>
        </is>
      </c>
      <c r="E30" s="6" t="inlineStr">
        <is>
          <t>平台抽成 10%，另加 Stripe 支付手续费约 2.9% + 0.3 美元/笔；订阅定价常见 5–15 美元/月</t>
        </is>
      </c>
      <c r="F30" s="6" t="inlineStr">
        <is>
          <t>无门槛，但需自带读者</t>
        </is>
      </c>
      <c r="G30" s="6" t="inlineStr">
        <is>
          <t>Stripe 周结</t>
        </is>
      </c>
      <c r="H30" s="7" t="n">
        <v>0</v>
      </c>
      <c r="I30" s="7" t="n">
        <v>20000</v>
      </c>
      <c r="J30" s="4" t="inlineStr">
        <is>
          <t>高</t>
        </is>
      </c>
      <c r="K30" s="4" t="inlineStr">
        <is>
          <t>高</t>
        </is>
      </c>
      <c r="L30" s="6" t="inlineStr">
        <is>
          <t>有英文读者基础、垂直领域专家</t>
        </is>
      </c>
      <c r="M30" s="6" t="inlineStr">
        <is>
          <t>几乎没有站内流量，冷启动极难；国内读者付费意愿低</t>
        </is>
      </c>
    </row>
  </sheetData>
  <autoFilter ref="A3:M30"/>
  <mergeCells count="2">
    <mergeCell ref="A2:M2"/>
    <mergeCell ref="A1:M1"/>
  </mergeCells>
  <conditionalFormatting sqref="J4:J30">
    <cfRule type="expression" priority="1" dxfId="0">
      <formula>OR($J4="极高",$J4="高")</formula>
    </cfRule>
    <cfRule type="expression" priority="2" dxfId="1">
      <formula>$J4="中"</formula>
    </cfRule>
    <cfRule type="expression" priority="3" dxfId="2">
      <formula>$J4="低"</formula>
    </cfRule>
  </conditionalFormatting>
  <conditionalFormatting sqref="K4:K30">
    <cfRule type="expression" priority="4" dxfId="3">
      <formula>$K4="高"</formula>
    </cfRule>
    <cfRule type="expression" priority="5" dxfId="4">
      <formula>$K4="中"</formula>
    </cfRule>
    <cfRule type="expression" priority="6" dxfId="5">
      <formula>$K4="低"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26" customWidth="1" min="5" max="5"/>
    <col width="54" customWidth="1" min="6" max="6"/>
  </cols>
  <sheetData>
    <row r="1" ht="30" customHeight="1">
      <c r="A1" s="1" t="inlineStr">
        <is>
          <t>流量分成单价速查（元/万次有效阅读或播放）</t>
        </is>
      </c>
    </row>
    <row r="2" ht="30" customHeight="1">
      <c r="A2" s="2" t="inlineStr">
        <is>
          <t>只统计按流量分成的平台；小红书、番茄等不按阅读计价的平台见「稿酬与分成」表；大鱼号因停摆已剔除</t>
        </is>
      </c>
    </row>
    <row r="3" ht="34" customHeight="1">
      <c r="A3" s="3" t="inlineStr">
        <is>
          <t>平台</t>
        </is>
      </c>
      <c r="B3" s="3" t="inlineStr">
        <is>
          <t>单价下限
（元/万次）</t>
        </is>
      </c>
      <c r="C3" s="3" t="inlineStr">
        <is>
          <t>单价上限
（元/万次）</t>
        </is>
      </c>
      <c r="D3" s="3" t="inlineStr">
        <is>
          <t>中位单价
（元/万次）</t>
        </is>
      </c>
      <c r="E3" s="3" t="inlineStr">
        <is>
          <t>原创 / 优质加成</t>
        </is>
      </c>
      <c r="F3" s="3" t="inlineStr">
        <is>
          <t>计价要点与可信度</t>
        </is>
      </c>
    </row>
    <row r="4" ht="49.5" customHeight="1">
      <c r="A4" s="5" t="inlineStr">
        <is>
          <t>今日头条</t>
        </is>
      </c>
      <c r="B4" s="8" t="n">
        <v>3</v>
      </c>
      <c r="C4" s="8" t="n">
        <v>15</v>
      </c>
      <c r="D4" s="8">
        <f>IF(OR(B4="",C4=""),"",AVERAGE(B4:C4))</f>
        <v>9.0</v>
      </c>
      <c r="E4" s="6" t="inlineStr">
        <is>
          <t>优质原创 5–10 元；另有 30–80 元的高值说法</t>
        </is>
      </c>
      <c r="F4" s="6" t="inlineStr">
        <is>
          <t>千次单价 × 互动系数（≤3 倍）× 获利阅读量 ÷ 1000。口径分歧大，可信度低</t>
        </is>
      </c>
    </row>
    <row r="5" ht="35" customHeight="1">
      <c r="A5" s="5" t="inlineStr">
        <is>
          <t>百家号</t>
        </is>
      </c>
      <c r="B5" s="8" t="n">
        <v>2</v>
      </c>
      <c r="C5" s="8" t="n">
        <v>10</v>
      </c>
      <c r="D5" s="8">
        <f>IF(OR(B5="",C5=""),"",AVERAGE(B5:C5))</f>
        <v>6.0</v>
      </c>
      <c r="E5" s="6" t="inlineStr">
        <is>
          <t>优质原创 10–20 元</t>
        </is>
      </c>
      <c r="F5" s="6" t="inlineStr">
        <is>
          <t>未转正无收益；单价由账号权限、内容质量、领域价值共同决定。可信度中</t>
        </is>
      </c>
    </row>
    <row r="6" ht="35" customHeight="1">
      <c r="A6" s="5" t="inlineStr">
        <is>
          <t>微信公众号</t>
        </is>
      </c>
      <c r="B6" s="8" t="n">
        <v>30</v>
      </c>
      <c r="C6" s="8" t="n">
        <v>200</v>
      </c>
      <c r="D6" s="8">
        <f>IF(OR(B6="",C6=""),"",AVERAGE(B6:C6))</f>
        <v>115.0</v>
      </c>
      <c r="E6" s="6" t="inlineStr">
        <is>
          <t>原创 + 高互动可上探</t>
        </is>
      </c>
      <c r="F6" s="6" t="inlineStr">
        <is>
          <t>eCPM 3–20 元/千次曝光，实测 1.9–170 元/千次都出现过，波动极大。可信度中</t>
        </is>
      </c>
    </row>
    <row r="7" ht="35" customHeight="1">
      <c r="A7" s="5" t="inlineStr">
        <is>
          <t>知乎（致知计划）</t>
        </is>
      </c>
      <c r="B7" s="8" t="n">
        <v>5</v>
      </c>
      <c r="C7" s="8" t="n">
        <v>30</v>
      </c>
      <c r="D7" s="8">
        <f>IF(OR(B7="",C7=""),"",AVERAGE(B7:C7))</f>
        <v>17.5</v>
      </c>
      <c r="E7" s="6" t="inlineStr">
        <is>
          <t>专业领域权重高者可上探</t>
        </is>
      </c>
      <c r="F7" s="6" t="inlineStr">
        <is>
          <t>按万次有效阅读计价；5–30 元是 2023 年口径。可信度低</t>
        </is>
      </c>
    </row>
    <row r="8" ht="35" customHeight="1">
      <c r="A8" s="5" t="inlineStr">
        <is>
          <t>抖音（图文）</t>
        </is>
      </c>
      <c r="B8" s="8" t="n">
        <v>5</v>
      </c>
      <c r="C8" s="8" t="n">
        <v>8</v>
      </c>
      <c r="D8" s="8">
        <f>IF(OR(B8="",C8=""),"",AVERAGE(B8:C8))</f>
        <v>6.5</v>
      </c>
      <c r="E8" s="6" t="inlineStr">
        <is>
          <t>—</t>
        </is>
      </c>
      <c r="F8" s="6" t="inlineStr">
        <is>
          <t>按有效播放（≥5 秒）计，播放越高单价可能越低。可信度低</t>
        </is>
      </c>
    </row>
    <row r="9" ht="20.5" customHeight="1">
      <c r="A9" s="5" t="inlineStr">
        <is>
          <t>网易号</t>
        </is>
      </c>
      <c r="B9" s="8" t="n">
        <v>3</v>
      </c>
      <c r="C9" s="8" t="n">
        <v>8</v>
      </c>
      <c r="D9" s="8">
        <f>IF(OR(B9="",C9=""),"",AVERAGE(B9:C9))</f>
        <v>5.5</v>
      </c>
      <c r="E9" s="6" t="inlineStr">
        <is>
          <t>原创略有加成</t>
        </is>
      </c>
      <c r="F9" s="6" t="inlineStr">
        <is>
          <t>流量集中在新闻和评论，长尾弱。可信度低</t>
        </is>
      </c>
    </row>
    <row r="10" ht="35" customHeight="1">
      <c r="A10" s="5" t="inlineStr">
        <is>
          <t>企鹅号</t>
        </is>
      </c>
      <c r="B10" s="8" t="n">
        <v>5</v>
      </c>
      <c r="C10" s="8" t="n">
        <v>10</v>
      </c>
      <c r="D10" s="8">
        <f>IF(OR(B10="",C10=""),"",AVERAGE(B10:C10))</f>
        <v>7.5</v>
      </c>
      <c r="E10" s="6" t="inlineStr">
        <is>
          <t>—</t>
        </is>
      </c>
      <c r="F10" s="6" t="inlineStr">
        <is>
          <t>旧口径，2023 年后低活跃账号常见零分成。可信度低</t>
        </is>
      </c>
    </row>
    <row r="11" ht="20.5" customHeight="1">
      <c r="A11" s="5" t="inlineStr">
        <is>
          <t>搜狐号</t>
        </is>
      </c>
      <c r="B11" s="8" t="n">
        <v>2</v>
      </c>
      <c r="C11" s="8" t="n">
        <v>6</v>
      </c>
      <c r="D11" s="8">
        <f>IF(OR(B11="",C11=""),"",AVERAGE(B11:C11))</f>
        <v>4.0</v>
      </c>
      <c r="E11" s="6" t="inlineStr">
        <is>
          <t>—</t>
        </is>
      </c>
      <c r="F11" s="6" t="inlineStr">
        <is>
          <t>单价最低，但百度收录好。可信度低</t>
        </is>
      </c>
    </row>
    <row r="12" ht="30" customHeight="1">
      <c r="A12" s="9" t="inlineStr">
        <is>
          <t>平均</t>
        </is>
      </c>
      <c r="B12" s="10">
        <f>AVERAGE(B4:B11)</f>
        <v>6.875</v>
      </c>
      <c r="C12" s="10">
        <f>AVERAGE(C4:C11)</f>
        <v>35.875</v>
      </c>
      <c r="D12" s="10">
        <f>AVERAGE(D4:D11)</f>
        <v>21.375</v>
      </c>
      <c r="E12" s="9" t="inlineStr">
        <is>
          <t>—</t>
        </is>
      </c>
      <c r="F12" s="9" t="inlineStr">
        <is>
          <t>平均值被微信公众号的高单价拉高，看中位数更接近普通创作者体感</t>
        </is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G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48" customWidth="1" min="4" max="4"/>
    <col width="26" customWidth="1" min="5" max="5"/>
    <col width="18" customWidth="1" min="6" max="6"/>
    <col width="30" customWidth="1" min="7" max="7"/>
  </cols>
  <sheetData>
    <row r="1" ht="30" customHeight="1">
      <c r="A1" s="1" t="inlineStr">
        <is>
          <t>稿酬与分成标准（网文 / 知识付费 / 技术社区 / 投稿 / 海外）</t>
        </is>
      </c>
    </row>
    <row r="2" ht="30" customHeight="1">
      <c r="A2" s="2" t="inlineStr">
        <is>
          <t>分成比例 = 作者实际到手占收入的比例；空白表示该模式不按比例分成</t>
        </is>
      </c>
    </row>
    <row r="3" ht="34" customHeight="1">
      <c r="A3" s="3" t="inlineStr">
        <is>
          <t>平台</t>
        </is>
      </c>
      <c r="B3" s="3" t="inlineStr">
        <is>
          <t>收费模式</t>
        </is>
      </c>
      <c r="C3" s="3" t="inlineStr">
        <is>
          <t>作者分成比例</t>
        </is>
      </c>
      <c r="D3" s="3" t="inlineStr">
        <is>
          <t>单价 / 稿酬标准</t>
        </is>
      </c>
      <c r="E3" s="3" t="inlineStr">
        <is>
          <t>起付 / 门槛</t>
        </is>
      </c>
      <c r="F3" s="3" t="inlineStr">
        <is>
          <t>结算</t>
        </is>
      </c>
      <c r="G3" s="3" t="inlineStr">
        <is>
          <t>说明</t>
        </is>
      </c>
    </row>
    <row r="4" ht="35" customHeight="1">
      <c r="A4" s="5" t="inlineStr">
        <is>
          <t>番茄小说</t>
        </is>
      </c>
      <c r="B4" s="6" t="inlineStr">
        <is>
          <t>免费阅读·广告分成</t>
        </is>
      </c>
      <c r="C4" s="11" t="n">
        <v>0.55</v>
      </c>
      <c r="D4" s="6" t="inlineStr">
        <is>
          <t xml:space="preserve">全勤 600/800/1500 元（2026-10-01 起三档；中档 800 元为公开解读，官方原文未取到）；打赏作者 70%</t>
        </is>
      </c>
      <c r="E4" s="6" t="inlineStr">
        <is>
          <t>2 万字签约；全勤限独家作品</t>
        </is>
      </c>
      <c r="F4" s="6" t="inlineStr">
        <is>
          <t>月结</t>
        </is>
      </c>
      <c r="G4" s="6" t="inlineStr">
        <is>
          <t>走量逻辑，爆款率不足 0.8%</t>
        </is>
      </c>
    </row>
    <row r="5" ht="35" customHeight="1">
      <c r="A5" s="5" t="inlineStr">
        <is>
          <t>起点中文网</t>
        </is>
      </c>
      <c r="B5" s="6" t="inlineStr">
        <is>
          <t>付费订阅</t>
        </is>
      </c>
      <c r="C5" s="12" t="n"/>
      <c r="D5" s="6" t="inlineStr">
        <is>
          <t xml:space="preserve">新人保护 1500 元/月 × 3；第 4 个月起章均追订 ≥100 或渠道+免费收入 ≥2000 元后 1000 元/月（2025-05-01 起）</t>
        </is>
      </c>
      <c r="E5" s="6" t="inlineStr">
        <is>
          <t>编辑签约，拒稿率高</t>
        </is>
      </c>
      <c r="F5" s="6" t="inlineStr">
        <is>
          <t>月结</t>
        </is>
      </c>
      <c r="G5" s="6" t="inlineStr">
        <is>
          <t>作者分成约 50%–70%，视合约而定</t>
        </is>
      </c>
    </row>
    <row r="6" ht="20.5" customHeight="1">
      <c r="A6" s="5" t="inlineStr">
        <is>
          <t>晋江文学城</t>
        </is>
      </c>
      <c r="B6" s="6" t="inlineStr">
        <is>
          <t>付费订阅 + 版权代理</t>
        </is>
      </c>
      <c r="C6" s="12" t="n"/>
      <c r="D6" s="6" t="inlineStr">
        <is>
          <t>订阅分成；影视改编五五分成</t>
        </is>
      </c>
      <c r="E6" s="6" t="inlineStr">
        <is>
          <t>申请签约，审核较严</t>
        </is>
      </c>
      <c r="F6" s="6" t="inlineStr">
        <is>
          <t>月结</t>
        </is>
      </c>
      <c r="G6" s="6" t="inlineStr">
        <is>
          <t>著作权归作者，平台仅代理权</t>
        </is>
      </c>
    </row>
    <row r="7" ht="35" customHeight="1">
      <c r="A7" s="5" t="inlineStr">
        <is>
          <t>七猫小说</t>
        </is>
      </c>
      <c r="B7" s="6" t="inlineStr">
        <is>
          <t>保底 + 广告分成</t>
        </is>
      </c>
      <c r="C7" s="12" t="n"/>
      <c r="D7" s="6" t="inlineStr">
        <is>
          <t>保底 20 元/千字起，可谈至 50–200 元</t>
        </is>
      </c>
      <c r="E7" s="6" t="inlineStr">
        <is>
          <t>训练营 / 投稿审核</t>
        </is>
      </c>
      <c r="F7" s="6" t="inlineStr">
        <is>
          <t>月结</t>
        </is>
      </c>
      <c r="G7" s="6" t="inlineStr">
        <is>
          <t>收入最稳，天花板中等</t>
        </is>
      </c>
    </row>
    <row r="8" ht="35" customHeight="1">
      <c r="A8" s="5" t="inlineStr">
        <is>
          <t>豆瓣阅读</t>
        </is>
      </c>
      <c r="B8" s="6" t="inlineStr">
        <is>
          <t>付费阅读</t>
        </is>
      </c>
      <c r="C8" s="11" t="n">
        <v>0.7</v>
      </c>
      <c r="D8" s="6" t="inlineStr">
        <is>
          <t>线上销售 70% 分成；全勤千字 5 元；保底千字 15 元起</t>
        </is>
      </c>
      <c r="E8" s="6" t="inlineStr">
        <is>
          <t>申请签约</t>
        </is>
      </c>
      <c r="F8" s="6" t="inlineStr">
        <is>
          <t>月结</t>
        </is>
      </c>
      <c r="G8" s="6" t="inlineStr">
        <is>
          <t>文艺向题材，读者付费意愿高</t>
        </is>
      </c>
    </row>
    <row r="9" ht="35" customHeight="1">
      <c r="A9" s="5" t="inlineStr">
        <is>
          <t>知乎盐言故事</t>
        </is>
      </c>
      <c r="B9" s="6" t="inlineStr">
        <is>
          <t>会员付费分成</t>
        </is>
      </c>
      <c r="C9" s="11" t="n">
        <v>0.5</v>
      </c>
      <c r="D9" s="6" t="inlineStr">
        <is>
          <t>预付金 50–300 元/千字；长篇全勤 1500 元/月</t>
        </is>
      </c>
      <c r="E9" s="6" t="inlineStr">
        <is>
          <t>短篇 8000 字可投</t>
        </is>
      </c>
      <c r="F9" s="6" t="inlineStr">
        <is>
          <t>约 45–60 天，扣 5% 个税</t>
        </is>
      </c>
      <c r="G9" s="6" t="inlineStr">
        <is>
          <t xml:space="preserve">有效阅读需会员读满 30 秒（v3 待核实：官方原文未取到）</t>
        </is>
      </c>
    </row>
    <row r="10" ht="35" customHeight="1">
      <c r="A10" s="5" t="inlineStr">
        <is>
          <t>知识星球</t>
        </is>
      </c>
      <c r="B10" s="6" t="inlineStr">
        <is>
          <t>付费社群</t>
        </is>
      </c>
      <c r="C10" s="11" t="n">
        <v>0.8</v>
      </c>
      <c r="D10" s="6" t="inlineStr">
        <is>
          <t>会员费自定，常见 99–365 元/年</t>
        </is>
      </c>
      <c r="E10" s="6" t="inlineStr">
        <is>
          <t>无门槛，需自带流量</t>
        </is>
      </c>
      <c r="F10" s="6" t="inlineStr">
        <is>
          <t>72 小时后可提</t>
        </is>
      </c>
      <c r="G10" s="6" t="inlineStr">
        <is>
          <t>平台抽 10%–20%，此处按 20% 上限折算</t>
        </is>
      </c>
    </row>
    <row r="11" ht="35" customHeight="1">
      <c r="A11" s="5" t="inlineStr">
        <is>
          <t>小报童</t>
        </is>
      </c>
      <c r="B11" s="6" t="inlineStr">
        <is>
          <t>付费专栏</t>
        </is>
      </c>
      <c r="C11" s="11" t="n">
        <v>0.9</v>
      </c>
      <c r="D11" s="6" t="inlineStr">
        <is>
          <t>买断 9.9–99 元/册；推荐金最高 60%</t>
        </is>
      </c>
      <c r="E11" s="6" t="inlineStr">
        <is>
          <t>邀请码 / 申请</t>
        </is>
      </c>
      <c r="F11" s="6" t="inlineStr">
        <is>
          <t>实时到账</t>
        </is>
      </c>
      <c r="G11" s="6" t="inlineStr">
        <is>
          <t>平台抽 10%</t>
        </is>
      </c>
    </row>
    <row r="12" ht="20.5" customHeight="1">
      <c r="A12" s="5" t="inlineStr">
        <is>
          <t>爱发电</t>
        </is>
      </c>
      <c r="B12" s="6" t="inlineStr">
        <is>
          <t>粉丝赞助</t>
        </is>
      </c>
      <c r="C12" s="12" t="n"/>
      <c r="D12" s="6" t="inlineStr">
        <is>
          <t>按月赞助，档位自定</t>
        </is>
      </c>
      <c r="E12" s="6" t="inlineStr">
        <is>
          <t>无门槛</t>
        </is>
      </c>
      <c r="F12" s="6" t="inlineStr">
        <is>
          <t>月结</t>
        </is>
      </c>
      <c r="G12" s="6" t="inlineStr">
        <is>
          <t>平台服务费 5%–10%</t>
        </is>
      </c>
    </row>
    <row r="13" ht="35" customHeight="1">
      <c r="A13" s="5" t="inlineStr">
        <is>
          <t>什么值得买</t>
        </is>
      </c>
      <c r="B13" s="6" t="inlineStr">
        <is>
          <t>创作激励 + 佣金</t>
        </is>
      </c>
      <c r="C13" s="12" t="n"/>
      <c r="D13" s="6" t="inlineStr">
        <is>
          <t>按阅读时长/互动/质量综合计算，180 天内持续</t>
        </is>
      </c>
      <c r="E13" s="6" t="inlineStr">
        <is>
          <t>注册创作者</t>
        </is>
      </c>
      <c r="F13" s="6" t="inlineStr">
        <is>
          <t>周结</t>
        </is>
      </c>
      <c r="G13" s="6" t="inlineStr">
        <is>
          <t>无固定单价</t>
        </is>
      </c>
    </row>
    <row r="14" ht="35" customHeight="1">
      <c r="A14" s="5" t="inlineStr">
        <is>
          <t>CSDN</t>
        </is>
      </c>
      <c r="B14" s="6" t="inlineStr">
        <is>
          <t>付费专栏</t>
        </is>
      </c>
      <c r="C14" s="11" t="n">
        <v>0.9</v>
      </c>
      <c r="D14" s="6" t="inlineStr">
        <is>
          <t>专栏定价自定，常见 19.9–199 元</t>
        </is>
      </c>
      <c r="E14" s="6" t="inlineStr">
        <is>
          <t>创作等级 + 原创权限</t>
        </is>
      </c>
      <c r="F14" s="6" t="inlineStr">
        <is>
          <t>月结</t>
        </is>
      </c>
      <c r="G14" s="6" t="inlineStr">
        <is>
          <t>平台抽 10%，技术类最友好</t>
        </is>
      </c>
    </row>
    <row r="15" ht="20.5" customHeight="1">
      <c r="A15" s="5" t="inlineStr">
        <is>
          <t>掘金</t>
        </is>
      </c>
      <c r="B15" s="6" t="inlineStr">
        <is>
          <t>激励 + 活动奖金</t>
        </is>
      </c>
      <c r="C15" s="12" t="n"/>
      <c r="D15" s="6" t="inlineStr">
        <is>
          <t>以征文奖金为主，折算现金低</t>
        </is>
      </c>
      <c r="E15" s="6" t="inlineStr">
        <is>
          <t>无</t>
        </is>
      </c>
      <c r="F15" s="6" t="inlineStr">
        <is>
          <t>活动结算</t>
        </is>
      </c>
      <c r="G15" s="6" t="inlineStr">
        <is>
          <t>直接变现弱，重在影响力</t>
        </is>
      </c>
    </row>
    <row r="16" ht="35" customHeight="1">
      <c r="A16" s="5" t="inlineStr">
        <is>
          <t>媒体 / 公众号征稿</t>
        </is>
      </c>
      <c r="B16" s="6" t="inlineStr">
        <is>
          <t>一次性稿酬</t>
        </is>
      </c>
      <c r="C16" s="12" t="n"/>
      <c r="D16" s="6" t="inlineStr">
        <is>
          <t>300–5000 元/篇；200–1000 元/千字</t>
        </is>
      </c>
      <c r="E16" s="6" t="inlineStr">
        <is>
          <t>投稿审核</t>
        </is>
      </c>
      <c r="F16" s="6" t="inlineStr">
        <is>
          <t>见刊后月结</t>
        </is>
      </c>
      <c r="G16" s="6" t="inlineStr">
        <is>
          <t>稿酬个税实际约 14%</t>
        </is>
      </c>
    </row>
    <row r="17" ht="35" customHeight="1">
      <c r="A17" s="5" t="inlineStr">
        <is>
          <t>Medium（海外）</t>
        </is>
      </c>
      <c r="B17" s="6" t="inlineStr">
        <is>
          <t>会员阅读时长分成</t>
        </is>
      </c>
      <c r="C17" s="12" t="n"/>
      <c r="D17" s="6" t="inlineStr">
        <is>
          <t>约 0.01–0.05 美元/阅读</t>
        </is>
      </c>
      <c r="E17" s="6" t="inlineStr">
        <is>
          <t>加入 Partner Program</t>
        </is>
      </c>
      <c r="F17" s="6" t="inlineStr">
        <is>
          <t>月结</t>
        </is>
      </c>
      <c r="G17" s="6" t="inlineStr">
        <is>
          <t>中文内容收益低</t>
        </is>
      </c>
    </row>
    <row r="18" ht="35" customHeight="1">
      <c r="A18" s="5" t="inlineStr">
        <is>
          <t>Substack（海外）</t>
        </is>
      </c>
      <c r="B18" s="6" t="inlineStr">
        <is>
          <t>付费订阅</t>
        </is>
      </c>
      <c r="C18" s="11" t="n">
        <v>0.9</v>
      </c>
      <c r="D18" s="6" t="inlineStr">
        <is>
          <t>常见 5–15 美元/月/人</t>
        </is>
      </c>
      <c r="E18" s="6" t="inlineStr">
        <is>
          <t>无门槛，需自带读者</t>
        </is>
      </c>
      <c r="F18" s="6" t="inlineStr">
        <is>
          <t>Stripe 周结</t>
        </is>
      </c>
      <c r="G18" s="6" t="inlineStr">
        <is>
          <t>平台抽 10% + 支付手续费</t>
        </is>
      </c>
    </row>
  </sheetData>
  <autoFilter ref="A3:G18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46" customWidth="1" min="4" max="4"/>
    <col width="36" customWidth="1" min="5" max="5"/>
  </cols>
  <sheetData>
    <row r="1" ht="30" customHeight="1">
      <c r="A1" s="1" t="inlineStr">
        <is>
          <t>本次修订记录：v1 里查出的错误</t>
        </is>
      </c>
    </row>
    <row r="2" ht="30" customHeight="1">
      <c r="A2" s="2" t="inlineStr">
        <is>
          <t xml:space="preserve">v1 中有 4 处实质性错误、2 处口径不准，已逐条更正；新增 6 个平台与「数据可信度」字段。v2 → v3 依据独立核查再修正 8 项（见下方 2026-10-27 记录）</t>
        </is>
      </c>
    </row>
    <row r="3" ht="34" customHeight="1">
      <c r="A3" s="3" t="inlineStr">
        <is>
          <t>序号</t>
        </is>
      </c>
      <c r="B3" s="3" t="inlineStr">
        <is>
          <t>修订项</t>
        </is>
      </c>
      <c r="C3" s="3" t="inlineStr">
        <is>
          <t>上一版（v1）</t>
        </is>
      </c>
      <c r="D3" s="3" t="inlineStr">
        <is>
          <t>本版（v2）</t>
        </is>
      </c>
      <c r="E3" s="3" t="inlineStr">
        <is>
          <t>依据</t>
        </is>
      </c>
    </row>
    <row r="4" ht="35" customHeight="1">
      <c r="A4" s="4" t="n">
        <v>1</v>
      </c>
      <c r="B4" s="5" t="inlineStr">
        <is>
          <t>头条 · 青云计划</t>
        </is>
      </c>
      <c r="C4" s="6" t="inlineStr">
        <is>
          <t>列为有效变现方式，标注「单篇 50–1000 元」</t>
        </is>
      </c>
      <c r="D4" s="6" t="inlineStr">
        <is>
          <t>整项删除</t>
        </is>
      </c>
      <c r="E4" s="6" t="inlineStr">
        <is>
          <t>青云计划已于 2020 年 9 月取消，v1 引用的是过时攻略</t>
        </is>
      </c>
    </row>
    <row r="5" ht="49.5" customHeight="1">
      <c r="A5" s="4" t="n">
        <v>2</v>
      </c>
      <c r="B5" s="5" t="inlineStr">
        <is>
          <t>番茄 · 全勤奖</t>
        </is>
      </c>
      <c r="C5" s="6" t="inlineStr">
        <is>
          <t>日更 4000 字→600 元；日更 6000 字→800 元</t>
        </is>
      </c>
      <c r="D5" s="6" t="inlineStr">
        <is>
          <t>改为 2026 年 10–12 月新规三档：15 万字 / 日更 5000 / 月更 20 万字</t>
        </is>
      </c>
      <c r="E5" s="6" t="inlineStr">
        <is>
          <t>番茄官方「年度作家福利」页 + 2026-09 多方解读；9 月为旧新规并行期</t>
        </is>
      </c>
    </row>
    <row r="6" ht="35" customHeight="1">
      <c r="A6" s="4" t="n">
        <v>3</v>
      </c>
      <c r="B6" s="5" t="inlineStr">
        <is>
          <t>知识星球 · 抽成</t>
        </is>
      </c>
      <c r="C6" s="6" t="inlineStr">
        <is>
          <t>「约 20%」单一数字</t>
        </is>
      </c>
      <c r="D6" s="6" t="inlineStr">
        <is>
          <t>个人 10%–20%，企业 5%–10% + 微信支付 1%</t>
        </is>
      </c>
      <c r="E6" s="6" t="inlineStr">
        <is>
          <t>知识星球帮助中心《收入与提现常见问题》</t>
        </is>
      </c>
    </row>
    <row r="7" ht="49.5" customHeight="1">
      <c r="A7" s="4" t="n">
        <v>4</v>
      </c>
      <c r="B7" s="5" t="inlineStr">
        <is>
          <t>知乎盐选 · 分成</t>
        </is>
      </c>
      <c r="C7" s="6" t="inlineStr">
        <is>
          <t>「累计流水 ≤200 元作者 100%，超 200 元 80%」</t>
        </is>
      </c>
      <c r="D7" s="6" t="inlineStr">
        <is>
          <t>删除该说法，改为会员分成 50% + 预付金 50–300 元/千字 + 长篇全勤 1500 元/月</t>
        </is>
      </c>
      <c r="E7" s="6" t="inlineStr">
        <is>
          <t>原说法找不到任何官方或可靠出处，属误引</t>
        </is>
      </c>
    </row>
    <row r="8" ht="35" customHeight="1">
      <c r="A8" s="4" t="n">
        <v>5</v>
      </c>
      <c r="B8" s="5" t="inlineStr">
        <is>
          <t>大鱼号</t>
        </is>
      </c>
      <c r="C8" s="6" t="inlineStr">
        <is>
          <t>列为正常可做平台，15–20 元/万阅读</t>
        </is>
      </c>
      <c r="D8" s="6" t="inlineStr">
        <is>
          <t>标注「2025 年起基本停摆，不建议投入」</t>
        </is>
      </c>
      <c r="E8" s="6" t="inlineStr">
        <is>
          <t>行业复盘报道：2025 年已无实质运营</t>
        </is>
      </c>
    </row>
    <row r="9" ht="35" customHeight="1">
      <c r="A9" s="4" t="n">
        <v>6</v>
      </c>
      <c r="B9" s="5" t="inlineStr">
        <is>
          <t>企鹅号</t>
        </is>
      </c>
      <c r="C9" s="6" t="inlineStr">
        <is>
          <t>列为正常可做平台</t>
        </is>
      </c>
      <c r="D9" s="6" t="inlineStr">
        <is>
          <t>补充「未官宣关停，但流量红利结束，常见零分成」</t>
        </is>
      </c>
      <c r="E9" s="6" t="inlineStr">
        <is>
          <t>2026 年多篇实测与行业分析</t>
        </is>
      </c>
    </row>
    <row r="10" ht="49.5" customHeight="1">
      <c r="A10" s="4" t="n">
        <v>7</v>
      </c>
      <c r="B10" s="5" t="inlineStr">
        <is>
          <t>公众号 · 流量主门槛</t>
        </is>
      </c>
      <c r="C10" s="6" t="inlineStr">
        <is>
          <t>「100 粉丝」未说明来源</t>
        </is>
      </c>
      <c r="D10" s="6" t="inlineStr">
        <is>
          <t>确认 100 粉为 2026-03-24 官方公告，并补充「部分广告位仍需 500 粉」</t>
        </is>
      </c>
      <c r="E10" s="6" t="inlineStr">
        <is>
          <t>微信广告《公众号创作者变现能力三大升级》官方公告</t>
        </is>
      </c>
    </row>
    <row r="11" ht="35" customHeight="1">
      <c r="A11" s="4" t="n">
        <v>8</v>
      </c>
      <c r="B11" s="5" t="inlineStr">
        <is>
          <t>新增平台</t>
        </is>
      </c>
      <c r="C11" s="6" t="inlineStr">
        <is>
          <t>21 个</t>
        </is>
      </c>
      <c r="D11" s="6" t="inlineStr">
        <is>
          <t>27 个：新增抖音、视频号、B 站、豆瓣阅读、爱发电、什么值得买</t>
        </is>
      </c>
      <c r="E11" s="6" t="inlineStr">
        <is>
          <t>本轮补充调研</t>
        </is>
      </c>
    </row>
    <row r="12" ht="35" customHeight="1">
      <c r="A12" s="4" t="n">
        <v>9</v>
      </c>
      <c r="B12" s="5" t="inlineStr">
        <is>
          <t>新增字段</t>
        </is>
      </c>
      <c r="C12" s="6" t="inlineStr">
        <is>
          <t>无</t>
        </is>
      </c>
      <c r="D12" s="6" t="inlineStr">
        <is>
          <t>「数据可信度」列（高 / 中 / 低），区分官方口径与二手估算</t>
        </is>
      </c>
      <c r="E12" s="6" t="inlineStr">
        <is>
          <t>回应数据可靠性问题</t>
        </is>
      </c>
    </row>
    <row r="13" ht="35" customHeight="1">
      <c r="A13" s="4" t="n">
        <v>10</v>
      </c>
      <c r="B13" s="5" t="inlineStr">
        <is>
          <t>小红书 · 服务费</t>
        </is>
      </c>
      <c r="C13" s="6" t="inlineStr">
        <is>
          <t>「平台扣 10%」</t>
        </is>
      </c>
      <c r="D13" s="6" t="inlineStr">
        <is>
          <t>确认 10%，并补充「报价 1000 元实际到账 900 元」</t>
        </is>
      </c>
      <c r="E13" s="6" t="inlineStr">
        <is>
          <t>蒲公英官方合作流程与多源一致</t>
        </is>
      </c>
    </row>
    <row r="15" ht="22" customHeight="1">
      <c r="A15" s="3" t="inlineStr">
        <is>
          <t xml:space="preserve">v2 → v3：2026-10-27 独立核查修正</t>
        </is>
      </c>
    </row>
    <row r="16" ht="24" customHeight="1">
      <c r="A16" s="4" t="inlineStr">
        <is>
          <t xml:space="preserve">1</t>
        </is>
      </c>
      <c r="B16" s="5" t="inlineStr">
        <is>
          <t xml:space="preserve">头条 · 问答收益门槛</t>
        </is>
      </c>
      <c r="C16" s="6" t="inlineStr">
        <is>
          <t xml:space="preserve">100 粉丝解锁微头条、问答</t>
        </is>
      </c>
      <c r="D16" s="6" t="inlineStr">
        <is>
          <t xml:space="preserve">微头条约 100 粉；问答约 1000 粉</t>
        </is>
      </c>
      <c r="E16" s="6" t="inlineStr">
        <is>
          <t xml:space="preserve">头条创作者权益分层，多来源一致</t>
        </is>
      </c>
    </row>
    <row r="17" ht="24" customHeight="1">
      <c r="A17" s="4" t="inlineStr">
        <is>
          <t xml:space="preserve">2</t>
        </is>
      </c>
      <c r="B17" s="5" t="inlineStr">
        <is>
          <t xml:space="preserve">公众号 · 广告位门槛</t>
        </is>
      </c>
      <c r="C17" s="6" t="inlineStr">
        <is>
          <t xml:space="preserve">补充「部分广告位仍需 500 粉」</t>
        </is>
      </c>
      <c r="D17" s="6" t="inlineStr">
        <is>
          <t xml:space="preserve">删除该说法，改为「以当期公告为准」</t>
        </is>
      </c>
      <c r="E17" s="6" t="inlineStr">
        <is>
          <t xml:space="preserve">2026-03-24 公告原文无此表述</t>
        </is>
      </c>
    </row>
    <row r="18" ht="32" customHeight="1">
      <c r="A18" s="4" t="inlineStr">
        <is>
          <t xml:space="preserve">3</t>
        </is>
      </c>
      <c r="B18" s="5" t="inlineStr">
        <is>
          <t xml:space="preserve">番茄 · 全勤生效日与第二档</t>
        </is>
      </c>
      <c r="C18" s="6" t="inlineStr">
        <is>
          <t xml:space="preserve">「10–12 月起」；第 2 个月日更 5000 字→600 元</t>
        </is>
      </c>
      <c r="D18" s="6" t="inlineStr">
        <is>
          <t xml:space="preserve">2026-10-01 起；第 2 档改为进阶档 800 元（公开解读，官方原文待补）</t>
        </is>
      </c>
      <c r="E18" s="6" t="inlineStr">
        <is>
          <t xml:space="preserve">2026-09 官方公告 + 多家媒体解读</t>
        </is>
      </c>
    </row>
    <row r="19" ht="45" customHeight="1">
      <c r="A19" s="4" t="inlineStr">
        <is>
          <t xml:space="preserve">4</t>
        </is>
      </c>
      <c r="B19" s="5" t="inlineStr">
        <is>
          <t xml:space="preserve">番茄 · 作者收入分层</t>
        </is>
      </c>
      <c r="C19" s="6" t="inlineStr">
        <is>
          <t xml:space="preserve">近 70 万签约作者中月入超 2500 元仅 1.56%</t>
        </is>
      </c>
      <c r="D19" s="6" t="inlineStr">
        <is>
          <t xml:space="preserve">改为「2024 年 60 万签约作者中约 9374 人（1.56%）；2026 年签约作者约 70 万，最新分层未见官方更新」</t>
        </is>
      </c>
      <c r="E19" s="6" t="inlineStr">
        <is>
          <t xml:space="preserve">界面新闻 2025-01-14 / 2026-10-19</t>
        </is>
      </c>
    </row>
    <row r="20" ht="32" customHeight="1">
      <c r="A20" s="4" t="inlineStr">
        <is>
          <t xml:space="preserve">5</t>
        </is>
      </c>
      <c r="B20" s="5" t="inlineStr">
        <is>
          <t xml:space="preserve">起点 · 全勤第 4 个月门槛</t>
        </is>
      </c>
      <c r="C20" s="6" t="inlineStr">
        <is>
          <t xml:space="preserve">均订 &gt;500 才有 1000 元/月</t>
        </is>
      </c>
      <c r="D20" s="6" t="inlineStr">
        <is>
          <t xml:space="preserve">2025-05-01 起改为「章均追订 ≥100 或渠道+免费收入 ≥2000 元」</t>
        </is>
      </c>
      <c r="E20" s="6" t="inlineStr">
        <is>
          <t xml:space="preserve">起点 2025-04-29 公告（转述与公告截图）</t>
        </is>
      </c>
    </row>
    <row r="21" ht="32" customHeight="1">
      <c r="A21" s="4" t="inlineStr">
        <is>
          <t xml:space="preserve">6</t>
        </is>
      </c>
      <c r="B21" s="5" t="inlineStr">
        <is>
          <t xml:space="preserve">知识星球 · 支付通道费</t>
        </is>
      </c>
      <c r="C21" s="6" t="inlineStr">
        <is>
          <t xml:space="preserve">「+ 微信支付 1%」</t>
        </is>
      </c>
      <c r="D21" s="6" t="inlineStr">
        <is>
          <t xml:space="preserve">个人 0.6%、企业 1%；阶梯费率 2026-08-01 起执行</t>
        </is>
      </c>
      <c r="E21" s="6" t="inlineStr">
        <is>
          <t xml:space="preserve">知识星球官方费率文档</t>
        </is>
      </c>
    </row>
    <row r="22" ht="24" customHeight="1">
      <c r="A22" s="4" t="inlineStr">
        <is>
          <t xml:space="preserve">7</t>
        </is>
      </c>
      <c r="B22" s="5" t="inlineStr">
        <is>
          <t xml:space="preserve">小红书 · 服务费口径</t>
        </is>
      </c>
      <c r="C22" s="6" t="inlineStr">
        <is>
          <t xml:space="preserve">「平台服务费 10%，报价 1000 到账 900」</t>
        </is>
      </c>
      <c r="D22" s="6" t="inlineStr">
        <is>
          <t xml:space="preserve">补「10% 已含税费，实际到手通常低于 90%」</t>
        </is>
      </c>
      <c r="E22" s="6" t="inlineStr">
        <is>
          <t xml:space="preserve">钛媒体 / 新浪科技 2023-10</t>
        </is>
      </c>
    </row>
    <row r="23" ht="32" customHeight="1">
      <c r="A23" s="4" t="inlineStr">
        <is>
          <t xml:space="preserve">8</t>
        </is>
      </c>
      <c r="B23" s="5" t="inlineStr">
        <is>
          <t xml:space="preserve">知乎两条</t>
        </is>
      </c>
      <c r="C23" s="6" t="inlineStr">
        <is>
          <t xml:space="preserve">致知计划「排除 AI」、盐言分成细则</t>
        </is>
      </c>
      <c r="D23" s="6" t="inlineStr">
        <is>
          <t xml:space="preserve">无法取得官方原文，标「待核实」；盐言可信度由「中」降为「低」</t>
        </is>
      </c>
      <c r="E23" s="6" t="inlineStr">
        <is>
          <t xml:space="preserve">知乎域页面 403，官方规则未能读取</t>
        </is>
      </c>
    </row>
  </sheetData>
  <mergeCells count="3">
    <mergeCell ref="A2:E2"/>
    <mergeCell ref="A1:E1"/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8" customWidth="1" min="4" max="4"/>
    <col width="62" customWidth="1" min="5" max="5"/>
  </cols>
  <sheetData>
    <row r="1" ht="30" customHeight="1">
      <c r="A1" s="1" t="inlineStr">
        <is>
          <t>按目标选平台：7 种典型情况的推荐组合</t>
        </is>
      </c>
    </row>
    <row r="2" ht="30" customHeight="1">
      <c r="A2" s="2" t="inlineStr">
        <is>
          <t>同一份内容按平台习惯改写，别原封不动复制粘贴</t>
        </is>
      </c>
    </row>
    <row r="3" ht="34" customHeight="1">
      <c r="A3" s="3" t="inlineStr">
        <is>
          <t>序号</t>
        </is>
      </c>
      <c r="B3" s="3" t="inlineStr">
        <is>
          <t>你的情况 / 目标</t>
        </is>
      </c>
      <c r="C3" s="3" t="inlineStr">
        <is>
          <t>推荐组合（按优先级）</t>
        </is>
      </c>
      <c r="D3" s="3" t="inlineStr">
        <is>
          <t>预期月收入（元）</t>
        </is>
      </c>
      <c r="E3" s="3" t="inlineStr">
        <is>
          <t>关键动作与提醒</t>
        </is>
      </c>
    </row>
    <row r="4" ht="35" customHeight="1">
      <c r="A4" s="4" t="n">
        <v>1</v>
      </c>
      <c r="B4" s="6" t="inlineStr">
        <is>
          <t>零基础，想最快拿到第一笔钱</t>
        </is>
      </c>
      <c r="C4" s="5" t="inlineStr">
        <is>
          <t>今日头条 → 百家号 → 微信公众号</t>
        </is>
      </c>
      <c r="D4" s="4" t="inlineStr">
        <is>
          <t>0–1000</t>
        </is>
      </c>
      <c r="E4" s="6" t="inlineStr">
        <is>
          <t>头条 0 粉丝就能开创作收益，日更 1 篇 1500 字，优先热点和故事；跑通后再同步百家号拿搜索流量</t>
        </is>
      </c>
    </row>
    <row r="5" ht="35" customHeight="1">
      <c r="A5" s="4" t="n">
        <v>2</v>
      </c>
      <c r="B5" s="6" t="inlineStr">
        <is>
          <t>有专业领域（职场/育儿/理财/AI）</t>
        </is>
      </c>
      <c r="C5" s="5" t="inlineStr">
        <is>
          <t>知乎 + 小红书 + 公众号</t>
        </is>
      </c>
      <c r="D5" s="4" t="inlineStr">
        <is>
          <t>1000–20000</t>
        </is>
      </c>
      <c r="E5" s="6" t="inlineStr">
        <is>
          <t>知乎吃搜索长尾、小红书找精准客户、公众号承接复购；一个选题改写成三个版本</t>
        </is>
      </c>
    </row>
    <row r="6" ht="35" customHeight="1">
      <c r="A6" s="4" t="n">
        <v>3</v>
      </c>
      <c r="B6" s="6" t="inlineStr">
        <is>
          <t>想写小说，能接受慢</t>
        </is>
      </c>
      <c r="C6" s="5" t="inlineStr">
        <is>
          <t>七猫（保底）→ 番茄 / 起点 / 晋江</t>
        </is>
      </c>
      <c r="D6" s="4" t="inlineStr">
        <is>
          <t>0–5000</t>
        </is>
      </c>
      <c r="E6" s="6" t="inlineStr">
        <is>
          <t>纯新手先用七猫保底兜底；追天花板选起点（男频）或晋江（女频，版权最友好）；番茄 2026 新规全勤门槛已抬高</t>
        </is>
      </c>
    </row>
    <row r="7" ht="35" customHeight="1">
      <c r="A7" s="4" t="n">
        <v>4</v>
      </c>
      <c r="B7" s="6" t="inlineStr">
        <is>
          <t>只想拿稿费，不想运营账号</t>
        </is>
      </c>
      <c r="C7" s="5" t="inlineStr">
        <is>
          <t>行业媒体 / 公众号征稿 / 知乎盐选</t>
        </is>
      </c>
      <c r="D7" s="4" t="inlineStr">
        <is>
          <t>500–5000</t>
        </is>
      </c>
      <c r="E7" s="6" t="inlineStr">
        <is>
          <t>先攒 3–5 篇代表作，再投垂直行业号，单篇 300–1500 元；盐选短篇 8000 字可投，过稿有预付金</t>
        </is>
      </c>
    </row>
    <row r="8" ht="35" customHeight="1">
      <c r="A8" s="4" t="n">
        <v>5</v>
      </c>
      <c r="B8" s="6" t="inlineStr">
        <is>
          <t>已有粉丝或私域</t>
        </is>
      </c>
      <c r="C8" s="5" t="inlineStr">
        <is>
          <t>知识星球 / 小报童 + 公众号</t>
        </is>
      </c>
      <c r="D8" s="4" t="inlineStr">
        <is>
          <t>3000–30000</t>
        </is>
      </c>
      <c r="E8" s="6" t="inlineStr">
        <is>
          <t>知识星球抽 10%–20%、小报童抽 10%；先小范围验证再放量，定价要把手续费算进去</t>
        </is>
      </c>
    </row>
    <row r="9" ht="35" customHeight="1">
      <c r="A9" s="4" t="n">
        <v>6</v>
      </c>
      <c r="B9" s="6" t="inlineStr">
        <is>
          <t>会技术，想长期做个人 IP</t>
        </is>
      </c>
      <c r="C9" s="5" t="inlineStr">
        <is>
          <t>CSDN + 掘金 + 公众号</t>
        </is>
      </c>
      <c r="D9" s="4" t="inlineStr">
        <is>
          <t>0–3000</t>
        </is>
      </c>
      <c r="E9" s="6" t="inlineStr">
        <is>
          <t>CSDN 付费专栏作者拿 90%，是技术类分成最好的；掘金主要用来引流和背书</t>
        </is>
      </c>
    </row>
    <row r="10" ht="35" customHeight="1">
      <c r="A10" s="4" t="n">
        <v>7</v>
      </c>
      <c r="B10" s="6" t="inlineStr">
        <is>
          <t>英文好，想赚美元</t>
        </is>
      </c>
      <c r="C10" s="5" t="inlineStr">
        <is>
          <t>Substack + Medium</t>
        </is>
      </c>
      <c r="D10" s="4" t="inlineStr">
        <is>
          <t>0–20000（折人民币）</t>
        </is>
      </c>
      <c r="E10" s="6" t="inlineStr">
        <is>
          <t>必须英文输出；Substack 抽 10% + 支付手续费，几乎没有站内流量，冷启动最难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D9E2F3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说明、可信度定义与数据来源</t>
        </is>
      </c>
    </row>
    <row r="2" ht="30" customHeight="1">
      <c r="A2" s="2" t="inlineStr">
        <is>
          <t xml:space="preserve">整理时间：2026 年 10 月 26 日；v3 独立核查与修订：2026 年 10 月 27 日</t>
        </is>
      </c>
    </row>
    <row r="4" ht="24" customHeight="1">
      <c r="A4" s="13" t="inlineStr">
        <is>
          <t>一、收录概况</t>
        </is>
      </c>
    </row>
    <row r="5" ht="20" customHeight="1">
      <c r="A5" s="14" t="inlineStr">
        <is>
          <t>收录平台数（个）</t>
        </is>
      </c>
      <c r="D5" s="15">
        <f>COUNTA('平台总览'!B4:B30)</f>
        <v>27.0</v>
      </c>
    </row>
    <row r="6" ht="20" customHeight="1">
      <c r="A6" s="14" t="inlineStr">
        <is>
          <t>数据可信度=高 的平台数</t>
        </is>
      </c>
      <c r="D6" s="15">
        <f>COUNTIF('平台总览'!K4:K30,"高")</f>
        <v>7.0</v>
      </c>
    </row>
    <row r="7" ht="20" customHeight="1">
      <c r="A7" s="14" t="inlineStr">
        <is>
          <t>数据可信度=低 的平台数</t>
        </is>
      </c>
      <c r="D7" s="15">
        <f>COUNTIF('平台总览'!K4:K30,"低")</f>
        <v>10</v>
      </c>
    </row>
    <row r="8" ht="20" customHeight="1">
      <c r="A8" s="14" t="inlineStr">
        <is>
          <t>流量分成类平均单价上限（元/万次）</t>
        </is>
      </c>
      <c r="D8" s="16">
        <f>'流量分成单价'!C12</f>
        <v>35.875</v>
      </c>
    </row>
    <row r="10" ht="24" customHeight="1">
      <c r="A10" s="13" t="inlineStr">
        <is>
          <t>二、「数据可信度」怎么定义</t>
        </is>
      </c>
    </row>
    <row r="11" ht="47.5" customHeight="1">
      <c r="A11" s="17" t="inlineStr">
        <is>
          <t>高：能找到平台官方公告、官方帮助文档或官方福利页直接印证。例如公众号 100 粉门槛（微信广告公告）、视频号 100 粉（微信广告文档）、知识星球费率（帮助中心）、起点全勤（官方规则）、小红书 10% 服务费（蒲公英流程）、Substack 10%（官方）。</t>
        </is>
      </c>
    </row>
    <row r="12" ht="33" customHeight="1">
      <c r="A12" s="17" t="inlineStr">
        <is>
          <t>中：多个独立来源口径一致，但没有找到官方原文。例如百家号、七猫、晋江、豆瓣阅读、CSDN、征稿行情。</t>
        </is>
      </c>
    </row>
    <row r="13" ht="47.5" customHeight="1">
      <c r="A13" s="17" t="inlineStr">
        <is>
          <t>低：只有单一来源，或不同来源数字差距悬殊。例如头条万次阅读单价（3–15 元 vs 30–80 元）、抖音图文伙伴计划门槛、B 站激励单价、Medium 折算单价、大鱼号/企鹅号。</t>
        </is>
      </c>
    </row>
    <row r="14" ht="47.5" customHeight="1">
      <c r="A14" s="17" t="inlineStr">
        <is>
          <t xml:space="preserve">诚实说明：v1 版并未逐条验证，部分数字来自自媒体聚合稿（其中不少本身是 AI 生成）。v2 已对风险最高的 10 项做了回溯核对；v3（2026-10-27）由独立核查再修正 4 处错误/过时口径、删除 2 处无法证实的数据，结果见「本次修订记录」表与核查报告。仍标「低」的条目，建议动手前自己去后台看实际单价。</t>
        </is>
      </c>
    </row>
    <row r="16" ht="24" customHeight="1">
      <c r="A16" s="13" t="inlineStr">
        <is>
          <t>三、收益计算速记</t>
        </is>
      </c>
    </row>
    <row r="17" ht="33" customHeight="1">
      <c r="A17" s="17" t="inlineStr">
        <is>
          <t>头条号：收益 = 千次阅读单价 × 互动系数（最高 3 倍）× 获利阅读量 ÷ 1000</t>
        </is>
      </c>
    </row>
    <row r="18" ht="18.5" customHeight="1">
      <c r="A18" s="17" t="inlineStr">
        <is>
          <t>公众号流量主：收益 = 有效曝光 ÷ 1000 × eCPM；互选广告按阅读单价结算</t>
        </is>
      </c>
    </row>
    <row r="19" ht="33" customHeight="1">
      <c r="A19" s="17" t="inlineStr">
        <is>
          <t xml:space="preserve">小红书：图文报价 ≈ 粉丝数 × 0.1–0.3 元；平台服务费 10%（含税费，报价 1000 元到手通常略低于 900 元）</t>
        </is>
      </c>
    </row>
    <row r="20" ht="33" customHeight="1">
      <c r="A20" s="17" t="inlineStr">
        <is>
          <t>抖音图文：收益 = 有效播放量（≥5 秒）× 动态单价 × 分成比例，万次播放约 5–8 元</t>
        </is>
      </c>
    </row>
    <row r="21" ht="33" customHeight="1">
      <c r="A21" s="17" t="inlineStr">
        <is>
          <t>知乎盐选：当月分成 =（你的有效阅读量 ÷ 全平台盐选总有效阅读量）× 当月会员分成池 × 50%</t>
        </is>
      </c>
    </row>
    <row r="22" ht="47.5" customHeight="1">
      <c r="A22" s="17" t="inlineStr">
        <is>
          <t xml:space="preserve">番茄全勤（2026-10-01 起）：第 1 个月 15 万字 + 听读≥500 元 → 600 元；第 2 个月进阶档 800 元（公开解读，官方原文未取到）；第 3 个月起月更 20 万字 + 听读≥1500 元 → 1500 元（有效期至 2026-12-31）</t>
        </is>
      </c>
    </row>
    <row r="24" ht="24" customHeight="1">
      <c r="A24" s="13" t="inlineStr">
        <is>
          <t>四、风险与合规提示</t>
        </is>
      </c>
    </row>
    <row r="25" ht="33" customHeight="1">
      <c r="A25" s="17" t="inlineStr">
        <is>
          <t>1. 内容合规：涉政、涉黄、医疗荐药、金融荐股、导流黑产是封号高发区，2025 年各平台封禁账号数量均大幅上升。</t>
        </is>
      </c>
    </row>
    <row r="26" ht="47.5" customHeight="1">
      <c r="A26" s="17" t="inlineStr">
        <is>
          <t xml:space="preserve">2. AI 内容限制：知乎致知计划「排除 AI 创作及 AI 辅助创作」的说法未能取得官方原文（v3 标「待核实」）；抖音 2026 年推进去 AI 化，纯 AI 批量图文无收益且限流；不少刊物征稿明确「拒绝 AI 代笔」。</t>
        </is>
      </c>
    </row>
    <row r="27" ht="18.5" customHeight="1">
      <c r="A27" s="17" t="inlineStr">
        <is>
          <t>3. 首发与独家：头条「首发」、平台签约作品有时间排他条款，多平台分发前先看协议。</t>
        </is>
      </c>
    </row>
    <row r="28" ht="33" customHeight="1">
      <c r="A28" s="17" t="inlineStr">
        <is>
          <t>4. 税务：稿酬所得按 20% 税率减征 30%，实际约 14%；知乎盐选统一扣 5%。</t>
        </is>
      </c>
    </row>
    <row r="29" ht="18.5" customHeight="1">
      <c r="A29" s="17" t="inlineStr">
        <is>
          <t>5. 现金流：多数平台月结且满 100 元才可提现，前期需准备 2–3 个月无收入。</t>
        </is>
      </c>
    </row>
    <row r="31" ht="24" customHeight="1">
      <c r="A31" s="13" t="inlineStr">
        <is>
          <t>五、主要数据来源</t>
        </is>
      </c>
    </row>
    <row r="32" ht="33" customHeight="1">
      <c r="A32" s="17" t="inlineStr">
        <is>
          <t>· 微信广告《公众号创作者变现能力三大升级》（2026-03-24，程序化广告 500→100 粉）</t>
        </is>
      </c>
    </row>
    <row r="33" ht="33" customHeight="1">
      <c r="A33" s="17" t="inlineStr">
        <is>
          <t>· 微信广告官方文档 ad.weixin.qq.com/docs/273（视频号创作分成计划门槛）</t>
        </is>
      </c>
    </row>
    <row r="34" ht="18.5" customHeight="1">
      <c r="A34" s="17" t="inlineStr">
        <is>
          <t xml:space="preserve">· 番茄小说《2026 年福利焕新》公告（2026-09，全勤新规自 2026-10-01 起；注意：旧版作家福利页仍为 2020 年规则，不可再引用）</t>
        </is>
      </c>
    </row>
    <row r="35" ht="33" customHeight="1">
      <c r="A35" s="17" t="inlineStr">
        <is>
          <t>· 知识星球帮助中心《收入与提现常见问题》（doc.zsxq.com/faq/shouru.html）</t>
        </is>
      </c>
    </row>
    <row r="36" ht="33" customHeight="1">
      <c r="A36" s="17" t="inlineStr">
        <is>
          <t xml:space="preserve">· 起点中文网 2025-04-29 公告（2025-05-01 起全勤改规：第 4 个月起章均追订 ≥100 或渠道+免费收入 ≥2000 元）</t>
        </is>
      </c>
    </row>
    <row r="37" ht="18.5" customHeight="1">
      <c r="A37" s="17" t="inlineStr">
        <is>
          <t>· 小红书蒲公英官方合作流程（平台服务费 10%）</t>
        </is>
      </c>
    </row>
    <row r="38" ht="33" customHeight="1">
      <c r="A38" s="17" t="inlineStr">
        <is>
          <t xml:space="preserve">· 《2026 年盐选平台收益构成（表格汇总）》（会员分成 50%、预付金、扣税 5%；v3 待核实：官方原文未取到）</t>
        </is>
      </c>
    </row>
    <row r="39" ht="18.5" customHeight="1">
      <c r="A39" s="17" t="inlineStr">
        <is>
          <t>· 《2026 年做图文还能赚钱吗？我把 5 个平台算明白了》（2026-09）</t>
        </is>
      </c>
    </row>
    <row r="40" ht="33" customHeight="1">
      <c r="A40" s="17" t="inlineStr">
        <is>
          <t>· 《2026 写网文还能赚钱吗？5 大平台真实收入曝光》（什么值得买，2026-08）</t>
        </is>
      </c>
    </row>
    <row r="41" ht="18.5" customHeight="1">
      <c r="A41" s="17" t="inlineStr">
        <is>
          <t>· 《公众号流量主真实收益大揭秘》（什么值得买，2026-06）</t>
        </is>
      </c>
    </row>
    <row r="42" ht="18.5" customHeight="1">
      <c r="A42" s="17" t="inlineStr">
        <is>
          <t>· 《百家号图文发表文章收益规则》（2026-03）</t>
        </is>
      </c>
    </row>
    <row r="43" ht="18.5" customHeight="1">
      <c r="A43" s="17" t="inlineStr">
        <is>
          <t>· 《2026 今日头条最新玩法：零粉开收益》</t>
        </is>
      </c>
    </row>
    <row r="44" ht="18.5" customHeight="1">
      <c r="A44" s="17" t="inlineStr">
        <is>
          <t>· 《抖音图文伙伴计划变现玩法》（2026-05）</t>
        </is>
      </c>
    </row>
    <row r="45" ht="18.5" customHeight="1">
      <c r="A45" s="17" t="inlineStr">
        <is>
          <t>· 《CSDN 程序员副业图谱》（2026-04）</t>
        </is>
      </c>
    </row>
    <row r="46" ht="33" customHeight="1">
      <c r="A46" s="17" t="inlineStr">
        <is>
          <t>· 豆瓣阅读签约与分成规则（多源：70% 分成、全勤千字 5 元、保底千字 15 元起）</t>
        </is>
      </c>
    </row>
    <row r="47" ht="18.5" customHeight="1">
      <c r="A47" s="17" t="inlineStr">
        <is>
          <t>· Substack 官方费率说明（平台抽 10% + Stripe 手续费）</t>
        </is>
      </c>
    </row>
    <row r="48" ht="18.5" customHeight="1">
      <c r="A48" s="17" t="inlineStr">
        <is>
          <t>· 《向媒体投稿，稿费有多少？各层级媒体投稿渠道费用全解析》</t>
        </is>
      </c>
    </row>
    <row r="50" ht="24" customHeight="1">
      <c r="A50" s="13" t="inlineStr">
        <is>
          <t>六、免责声明</t>
        </is>
      </c>
    </row>
    <row r="51" ht="33" customHeight="1">
      <c r="A51" s="17" t="inlineStr">
        <is>
          <t>本表为公开信息整理与估算，不构成收益承诺或投资建议。标「低」可信度的条目尤需自行核验。平台规则、单价、分成比例随时可能调整，决策前请以官方最新公告与创作者后台数据为准。</t>
        </is>
      </c>
    </row>
    <row r="53" ht="33" customHeight="1">
      <c r="A53" s="17" t="inlineStr">
        <is>
          <t xml:space="preserve">· 独立核查报告（2026-10-27）：核查记录/事实核查.md（10 条口径逐一附证据链接与可信度评级）</t>
        </is>
      </c>
    </row>
  </sheetData>
  <mergeCells count="46">
    <mergeCell ref="A39:E39"/>
    <mergeCell ref="A34:E34"/>
    <mergeCell ref="A48:E48"/>
    <mergeCell ref="A24:E24"/>
    <mergeCell ref="A11:E11"/>
    <mergeCell ref="A51:E51"/>
    <mergeCell ref="A1:E1"/>
    <mergeCell ref="A45:E45"/>
    <mergeCell ref="A36:E36"/>
    <mergeCell ref="A5:C5"/>
    <mergeCell ref="A16:E16"/>
    <mergeCell ref="A8:C8"/>
    <mergeCell ref="A25:E25"/>
    <mergeCell ref="A41:E41"/>
    <mergeCell ref="A37:E37"/>
    <mergeCell ref="A46:E46"/>
    <mergeCell ref="A18:E18"/>
    <mergeCell ref="A27:E27"/>
    <mergeCell ref="A21:E21"/>
    <mergeCell ref="A12:E12"/>
    <mergeCell ref="A50:E50"/>
    <mergeCell ref="A26:E26"/>
    <mergeCell ref="A2:E2"/>
    <mergeCell ref="A42:E42"/>
    <mergeCell ref="A33:E33"/>
    <mergeCell ref="A47:E47"/>
    <mergeCell ref="A32:E32"/>
    <mergeCell ref="A14:E14"/>
    <mergeCell ref="A22:E22"/>
    <mergeCell ref="A17:E17"/>
    <mergeCell ref="A29:E29"/>
    <mergeCell ref="A4:E4"/>
    <mergeCell ref="A35:E35"/>
    <mergeCell ref="A20:E20"/>
    <mergeCell ref="A38:E38"/>
    <mergeCell ref="A43:E43"/>
    <mergeCell ref="A10:E10"/>
    <mergeCell ref="A28:E28"/>
    <mergeCell ref="A6:C6"/>
    <mergeCell ref="A19:E19"/>
    <mergeCell ref="A13:E13"/>
    <mergeCell ref="A31:E31"/>
    <mergeCell ref="A44:E44"/>
    <mergeCell ref="A7:C7"/>
    <mergeCell ref="A40:E40"/>
    <mergeCell ref="A53:E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写作变现平台资费对比表</dc:title>
  <dcterms:created xsi:type="dcterms:W3CDTF">2026-10-26T02:20:21Z</dcterms:created>
  <dcterms:modified xsi:type="dcterms:W3CDTF">2026-10-26T02:20:21Z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{"Label":"1","ContentProducer":"00119111010856365494821B355","ProduceID":"0460653f5ef54948ac75566be73e0065","ContentPropagator":"00119111010856365494821B355","PropagateID":"0460653f5ef54948ac75566be73e0065"}</vt:lpwstr>
  </property>
</Properties>
</file>